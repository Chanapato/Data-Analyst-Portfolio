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ard" sheetId="1" r:id="rId5"/>
    <sheet state="visible" name="Addition" sheetId="2" r:id="rId6"/>
    <sheet state="visible" name="Interactive dashboard" sheetId="3" r:id="rId7"/>
    <sheet state="visible" name="product quality" sheetId="4" r:id="rId8"/>
    <sheet state="visible" name="Lead time vs Unit sold" sheetId="5" r:id="rId9"/>
    <sheet state="visible" name="Margin vs Unit sold" sheetId="6" r:id="rId10"/>
    <sheet state="visible" name="25% Freight increase" sheetId="7" r:id="rId11"/>
    <sheet state="visible" name="Critical Status" sheetId="8" r:id="rId12"/>
  </sheets>
  <definedNames>
    <definedName name="Enter">'Interactive dashboard'!$B$2</definedName>
    <definedName hidden="1" localSheetId="0" name="_xlnm._FilterDatabase">Standard!$A$1:$M$101</definedName>
    <definedName hidden="1" localSheetId="1" name="_xlnm._FilterDatabase">Addition!$A$1:$T$101</definedName>
  </definedNames>
  <calcPr/>
  <pivotCaches>
    <pivotCache cacheId="0" r:id="rId13"/>
  </pivotCaches>
</workbook>
</file>

<file path=xl/sharedStrings.xml><?xml version="1.0" encoding="utf-8"?>
<sst xmlns="http://schemas.openxmlformats.org/spreadsheetml/2006/main" count="1112" uniqueCount="333">
  <si>
    <t>SKU</t>
  </si>
  <si>
    <t>Product_Name</t>
  </si>
  <si>
    <t>Category</t>
  </si>
  <si>
    <t>Material</t>
  </si>
  <si>
    <t>Supplier_Region</t>
  </si>
  <si>
    <t>Factory_Cost_USD</t>
  </si>
  <si>
    <t>Freight_Cost_GBP</t>
  </si>
  <si>
    <t>Duty_Rate</t>
  </si>
  <si>
    <t>Retail_Price_Ex_VAT</t>
  </si>
  <si>
    <t>Units_Sold_Q1</t>
  </si>
  <si>
    <t>Return_Rate_Pct</t>
  </si>
  <si>
    <t>Competitor_Price_Ex_VAT</t>
  </si>
  <si>
    <t>Lead_Time_Weeks</t>
  </si>
  <si>
    <t>FUR-OK-001</t>
  </si>
  <si>
    <t>Juno Dining Table</t>
  </si>
  <si>
    <t>Dining</t>
  </si>
  <si>
    <t>Solid Oak</t>
  </si>
  <si>
    <t>Vietnam</t>
  </si>
  <si>
    <t>FUR-OK-002</t>
  </si>
  <si>
    <t>Finn Coffee Table</t>
  </si>
  <si>
    <t>Living</t>
  </si>
  <si>
    <t>FUR-WAL-003</t>
  </si>
  <si>
    <t>Maya Sideboard</t>
  </si>
  <si>
    <t>Storage</t>
  </si>
  <si>
    <t>Walnut Veneer</t>
  </si>
  <si>
    <t>China</t>
  </si>
  <si>
    <t>FUR-WAL-004</t>
  </si>
  <si>
    <t>Maya Media Unit</t>
  </si>
  <si>
    <t>FUR-BOC-005</t>
  </si>
  <si>
    <t>Arlo Armchair</t>
  </si>
  <si>
    <t>Upholstery</t>
  </si>
  <si>
    <t>Bouclé</t>
  </si>
  <si>
    <t>UK</t>
  </si>
  <si>
    <t>FUR-BOC-006</t>
  </si>
  <si>
    <t>Arlo 3-Seater</t>
  </si>
  <si>
    <t>FUR-VEL-007</t>
  </si>
  <si>
    <t>Ivy Dining Chair</t>
  </si>
  <si>
    <t>Velvet</t>
  </si>
  <si>
    <t>Poland</t>
  </si>
  <si>
    <t>FUR-VEL-008</t>
  </si>
  <si>
    <t>Ivy Bar Stool</t>
  </si>
  <si>
    <t>FUR-MAR-009</t>
  </si>
  <si>
    <t>Luna Coffee Table</t>
  </si>
  <si>
    <t>Travertine</t>
  </si>
  <si>
    <t>Italy</t>
  </si>
  <si>
    <t>FUR-MAR-010</t>
  </si>
  <si>
    <t>Luna Side Table</t>
  </si>
  <si>
    <t>FUR-RNT-011</t>
  </si>
  <si>
    <t>Koda Bed Frame</t>
  </si>
  <si>
    <t>Bedroom</t>
  </si>
  <si>
    <t>Rattan</t>
  </si>
  <si>
    <t>Indonesia</t>
  </si>
  <si>
    <t>FUR-RNT-012</t>
  </si>
  <si>
    <t>Koda Headboard</t>
  </si>
  <si>
    <t>FUR-CHR-013</t>
  </si>
  <si>
    <t>Eames-Style Lounge</t>
  </si>
  <si>
    <t>Leather/Walnut</t>
  </si>
  <si>
    <t>FUR-LTG-014</t>
  </si>
  <si>
    <t>Industrial Floor Lamp</t>
  </si>
  <si>
    <t>Lighting</t>
  </si>
  <si>
    <t>Black Steel</t>
  </si>
  <si>
    <t>FUR-BED-015</t>
  </si>
  <si>
    <t>Velvet Tufted Bed</t>
  </si>
  <si>
    <t>FUR-STO-016</t>
  </si>
  <si>
    <t>Minimalist Bookcase</t>
  </si>
  <si>
    <t>Oak Veneer</t>
  </si>
  <si>
    <t>FUR-DIN-017</t>
  </si>
  <si>
    <t>Extendable Table</t>
  </si>
  <si>
    <t>Solid Ash</t>
  </si>
  <si>
    <t>FUR-ACC-018</t>
  </si>
  <si>
    <t>Organic Mirror</t>
  </si>
  <si>
    <t>Accessories</t>
  </si>
  <si>
    <t>Glass/Brass</t>
  </si>
  <si>
    <t>India</t>
  </si>
  <si>
    <t>FUR-SOF-019</t>
  </si>
  <si>
    <t>Modular Corner Sofa</t>
  </si>
  <si>
    <t>Linen</t>
  </si>
  <si>
    <t>Portugal</t>
  </si>
  <si>
    <t>FUR-CHR-020</t>
  </si>
  <si>
    <t>Swivel Desk Chair</t>
  </si>
  <si>
    <t>Office</t>
  </si>
  <si>
    <t>Mesh/Steel</t>
  </si>
  <si>
    <t>FUR-DIN-021</t>
  </si>
  <si>
    <t>Bistro Table</t>
  </si>
  <si>
    <t>Marble/Iron</t>
  </si>
  <si>
    <t>FUR-LTG-022</t>
  </si>
  <si>
    <t>Art Deco Sconce</t>
  </si>
  <si>
    <t>Brass/Glass</t>
  </si>
  <si>
    <t>FUR-STO-023</t>
  </si>
  <si>
    <t>Floating Shelves</t>
  </si>
  <si>
    <t>FUR-SOF-024</t>
  </si>
  <si>
    <t>Loveseat Sleeper</t>
  </si>
  <si>
    <t>Chenille</t>
  </si>
  <si>
    <t>FUR-BED-025</t>
  </si>
  <si>
    <t>Storage Ottoman</t>
  </si>
  <si>
    <t>FUR-ACC-026</t>
  </si>
  <si>
    <t>Geometric Rug</t>
  </si>
  <si>
    <t>Wool</t>
  </si>
  <si>
    <t>FUR-DIN-027</t>
  </si>
  <si>
    <t>Bar Cart</t>
  </si>
  <si>
    <t>Gold/Glass</t>
  </si>
  <si>
    <t>FUR-OFF-028</t>
  </si>
  <si>
    <t>Standing Desk</t>
  </si>
  <si>
    <t>Bamboo</t>
  </si>
  <si>
    <t>FUR-SOF-029</t>
  </si>
  <si>
    <t>Chesterfield Sofa</t>
  </si>
  <si>
    <t>Top-Grain Leather</t>
  </si>
  <si>
    <t>FUR-CHR-030</t>
  </si>
  <si>
    <t>Wishbone Chair</t>
  </si>
  <si>
    <t>Beech</t>
  </si>
  <si>
    <t>FUR-LTG-031</t>
  </si>
  <si>
    <t>Pendant Cluster</t>
  </si>
  <si>
    <t>Copper</t>
  </si>
  <si>
    <t>FUR-BED-032</t>
  </si>
  <si>
    <t>Nightstand Pair</t>
  </si>
  <si>
    <t>Walnut</t>
  </si>
  <si>
    <t>FUR-STO-033</t>
  </si>
  <si>
    <t>Sideboard Large</t>
  </si>
  <si>
    <t>Mango Wood</t>
  </si>
  <si>
    <t>FUR-ACC-034</t>
  </si>
  <si>
    <t>Wall Clock</t>
  </si>
  <si>
    <t>Concrete</t>
  </si>
  <si>
    <t>FUR-DIN-035</t>
  </si>
  <si>
    <t>Velvet Bench</t>
  </si>
  <si>
    <t>FUR-SOF-036</t>
  </si>
  <si>
    <t>Daybed</t>
  </si>
  <si>
    <t>FUR-CHR-037</t>
  </si>
  <si>
    <t>Folding Chair</t>
  </si>
  <si>
    <t>Outdoor</t>
  </si>
  <si>
    <t>Teak</t>
  </si>
  <si>
    <t>FUR-LTG-038</t>
  </si>
  <si>
    <t>Desk Lamp</t>
  </si>
  <si>
    <t>Chrome</t>
  </si>
  <si>
    <t>FUR-BED-039</t>
  </si>
  <si>
    <t>Upholstered Headboard</t>
  </si>
  <si>
    <t>FUR-STO-040</t>
  </si>
  <si>
    <t>Wardrobe 2-Door</t>
  </si>
  <si>
    <t>Pine</t>
  </si>
  <si>
    <t>FUR-ACC-041</t>
  </si>
  <si>
    <t>Floor Vase</t>
  </si>
  <si>
    <t>Ceramic</t>
  </si>
  <si>
    <t>FUR-DIN-042</t>
  </si>
  <si>
    <t>Round Table</t>
  </si>
  <si>
    <t>Glass/Chrome</t>
  </si>
  <si>
    <t>FUR-OFF-043</t>
  </si>
  <si>
    <t>File Cabinet</t>
  </si>
  <si>
    <t>Steel</t>
  </si>
  <si>
    <t>FUR-SOF-044</t>
  </si>
  <si>
    <t>Recliner Chair</t>
  </si>
  <si>
    <t>Faux Leather</t>
  </si>
  <si>
    <t>FUR-CHR-045</t>
  </si>
  <si>
    <t>Bar Stool Set</t>
  </si>
  <si>
    <t>Industrial Steel</t>
  </si>
  <si>
    <t>FUR-LTG-046</t>
  </si>
  <si>
    <t>Globe Chandelier</t>
  </si>
  <si>
    <t>Brass</t>
  </si>
  <si>
    <t>FUR-BED-047</t>
  </si>
  <si>
    <t>Bedside Table</t>
  </si>
  <si>
    <t>FUR-STO-048</t>
  </si>
  <si>
    <t>Display Cabinet</t>
  </si>
  <si>
    <t>Black Oak</t>
  </si>
  <si>
    <t>FUR-ACC-049</t>
  </si>
  <si>
    <t>Wall Art Set</t>
  </si>
  <si>
    <t>Canvas</t>
  </si>
  <si>
    <t>FUR-DIN-050</t>
  </si>
  <si>
    <t>Marble Console</t>
  </si>
  <si>
    <t>White Marble</t>
  </si>
  <si>
    <t>FUR-OFF-051</t>
  </si>
  <si>
    <t>Leather Desk Pad</t>
  </si>
  <si>
    <t>Leather</t>
  </si>
  <si>
    <t>FUR-SOF-052</t>
  </si>
  <si>
    <t>Velvet Ottoman</t>
  </si>
  <si>
    <t>FUR-CHR-053</t>
  </si>
  <si>
    <t>Occasional Chair</t>
  </si>
  <si>
    <t>Felt</t>
  </si>
  <si>
    <t>FUR-LTG-054</t>
  </si>
  <si>
    <t>Lava Lamp</t>
  </si>
  <si>
    <t>Glass</t>
  </si>
  <si>
    <t>FUR-BED-055</t>
  </si>
  <si>
    <t>Memory Foam Mattress</t>
  </si>
  <si>
    <t>Foam</t>
  </si>
  <si>
    <t>FUR-STO-056</t>
  </si>
  <si>
    <t>Tallboy Chest</t>
  </si>
  <si>
    <t>FUR-ACC-057</t>
  </si>
  <si>
    <t>Woven Basket</t>
  </si>
  <si>
    <t>Seagrass</t>
  </si>
  <si>
    <t>FUR-DIN-058</t>
  </si>
  <si>
    <t>Industrial Bench</t>
  </si>
  <si>
    <t>Reclaimed Wood</t>
  </si>
  <si>
    <t>FUR-OFF-059</t>
  </si>
  <si>
    <t>Monitor Stand</t>
  </si>
  <si>
    <t>FUR-SOF-060</t>
  </si>
  <si>
    <t>Sofa Bed</t>
  </si>
  <si>
    <t>Grey Marl</t>
  </si>
  <si>
    <t>FUR-CHR-061</t>
  </si>
  <si>
    <t>Tub Chair</t>
  </si>
  <si>
    <t>FUR-LTG-062</t>
  </si>
  <si>
    <t>Paper Lantern</t>
  </si>
  <si>
    <t>Paper/Bamboo</t>
  </si>
  <si>
    <t>FUR-BED-063</t>
  </si>
  <si>
    <t>Bunk Bed</t>
  </si>
  <si>
    <t>FUR-STO-064</t>
  </si>
  <si>
    <t>Shoe Rack</t>
  </si>
  <si>
    <t>FUR-ACC-065</t>
  </si>
  <si>
    <t>Throw Blanket</t>
  </si>
  <si>
    <t>Cashmere</t>
  </si>
  <si>
    <t>Scotland</t>
  </si>
  <si>
    <t>FUR-DIN-066</t>
  </si>
  <si>
    <t>Folding Dining Table</t>
  </si>
  <si>
    <t>MDF/Veneer</t>
  </si>
  <si>
    <t>FUR-OFF-067</t>
  </si>
  <si>
    <t>Task Lamp</t>
  </si>
  <si>
    <t>LED/Steel</t>
  </si>
  <si>
    <t>FUR-SOF-068</t>
  </si>
  <si>
    <t>Sectional Left-Hand</t>
  </si>
  <si>
    <t>FUR-CHR-069</t>
  </si>
  <si>
    <t>Rocking Chair</t>
  </si>
  <si>
    <t>Ash Wood</t>
  </si>
  <si>
    <t>FUR-LTG-070</t>
  </si>
  <si>
    <t>Spotlight Bar</t>
  </si>
  <si>
    <t>Nickel</t>
  </si>
  <si>
    <t>FUR-BED-071</t>
  </si>
  <si>
    <t>Toddler Bed</t>
  </si>
  <si>
    <t>Solid Birch</t>
  </si>
  <si>
    <t>FUR-STO-072</t>
  </si>
  <si>
    <t>Coffee Table w/ Drawers</t>
  </si>
  <si>
    <t>FUR-ACC-073</t>
  </si>
  <si>
    <t>Candle Holder Set</t>
  </si>
  <si>
    <t>Iron</t>
  </si>
  <si>
    <t>FUR-DIN-074</t>
  </si>
  <si>
    <t>Glass Dining Table</t>
  </si>
  <si>
    <t>Tempered Glass</t>
  </si>
  <si>
    <t>FUR-OFF-075</t>
  </si>
  <si>
    <t>Drafting Stool</t>
  </si>
  <si>
    <t>Poly</t>
  </si>
  <si>
    <t>FUR-SOF-076</t>
  </si>
  <si>
    <t>Chaise Longue</t>
  </si>
  <si>
    <t>Silk Blend</t>
  </si>
  <si>
    <t>FUR-CHR-077</t>
  </si>
  <si>
    <t>Patio Chair</t>
  </si>
  <si>
    <t>Poly-Rattan</t>
  </si>
  <si>
    <t>FUR-LTG-078</t>
  </si>
  <si>
    <t>Pendant Copper</t>
  </si>
  <si>
    <t>FUR-BED-079</t>
  </si>
  <si>
    <t>Murphy Bed</t>
  </si>
  <si>
    <t>White Laminate</t>
  </si>
  <si>
    <t>FUR-STO-080</t>
  </si>
  <si>
    <t>Corner Unit</t>
  </si>
  <si>
    <t>Oak</t>
  </si>
  <si>
    <t>FUR-ACC-081</t>
  </si>
  <si>
    <t>Scented Candle</t>
  </si>
  <si>
    <t>Wax</t>
  </si>
  <si>
    <t>FUR-DIN-082</t>
  </si>
  <si>
    <t>Zinc Top Table</t>
  </si>
  <si>
    <t>Zinc/Oak</t>
  </si>
  <si>
    <t>FUR-OFF-083</t>
  </si>
  <si>
    <t>Bookshelf Ladder</t>
  </si>
  <si>
    <t>FUR-SOF-084</t>
  </si>
  <si>
    <t>Armless Sofa</t>
  </si>
  <si>
    <t>Denim</t>
  </si>
  <si>
    <t>FUR-CHR-085</t>
  </si>
  <si>
    <t>Saddle Stool</t>
  </si>
  <si>
    <t>FUR-LTG-086</t>
  </si>
  <si>
    <t>Outdoor String Lights</t>
  </si>
  <si>
    <t>Plastic</t>
  </si>
  <si>
    <t>FUR-BED-087</t>
  </si>
  <si>
    <t>Platform Bed</t>
  </si>
  <si>
    <t>Plywood</t>
  </si>
  <si>
    <t>FUR-STO-088</t>
  </si>
  <si>
    <t>Locker Cabinet</t>
  </si>
  <si>
    <t>Metal</t>
  </si>
  <si>
    <t>FUR-ACC-089</t>
  </si>
  <si>
    <t>Picture Frame A3</t>
  </si>
  <si>
    <t>Wood</t>
  </si>
  <si>
    <t>FUR-DIN-090</t>
  </si>
  <si>
    <t>Trestle Table</t>
  </si>
  <si>
    <t>FUR-OFF-091</t>
  </si>
  <si>
    <t>Office Guest Chair</t>
  </si>
  <si>
    <t>Fabric</t>
  </si>
  <si>
    <t>FUR-SOF-092</t>
  </si>
  <si>
    <t>Futon Mattress</t>
  </si>
  <si>
    <t>Cotton</t>
  </si>
  <si>
    <t>Japan</t>
  </si>
  <si>
    <t>FUR-CHR-093</t>
  </si>
  <si>
    <t>Plastic Side Chair</t>
  </si>
  <si>
    <t>Polyprop</t>
  </si>
  <si>
    <t>FUR-LTG-094</t>
  </si>
  <si>
    <t>Neon Sign</t>
  </si>
  <si>
    <t>LED/Acrylic</t>
  </si>
  <si>
    <t>FUR-BED-095</t>
  </si>
  <si>
    <t>Canopy Bed</t>
  </si>
  <si>
    <t>FUR-STO-096</t>
  </si>
  <si>
    <t>Floating Vanity</t>
  </si>
  <si>
    <t>FUR-ACC-097</t>
  </si>
  <si>
    <t>Door Mat</t>
  </si>
  <si>
    <t>Coir</t>
  </si>
  <si>
    <t>FUR-DIN-098</t>
  </si>
  <si>
    <t>Counter Height Table</t>
  </si>
  <si>
    <t>Acacia</t>
  </si>
  <si>
    <t>FUR-OFF-099</t>
  </si>
  <si>
    <t>Under-Desk Pedestal</t>
  </si>
  <si>
    <t>FUR-SOF-100</t>
  </si>
  <si>
    <t>Pet Sofa</t>
  </si>
  <si>
    <t>Fleece</t>
  </si>
  <si>
    <t>Factory_Cost_GBP</t>
  </si>
  <si>
    <t>Total_Land_Cost</t>
  </si>
  <si>
    <t>Margin_Pct</t>
  </si>
  <si>
    <t>Competitor_Price_Index</t>
  </si>
  <si>
    <t>Land_Cost_25Pct_Up</t>
  </si>
  <si>
    <t>Revised_Margin_Pct</t>
  </si>
  <si>
    <t>Status</t>
  </si>
  <si>
    <t>Automated Action Status Tool</t>
  </si>
  <si>
    <t>Select product:</t>
  </si>
  <si>
    <t>Units sold:</t>
  </si>
  <si>
    <t>Lead time (week):</t>
  </si>
  <si>
    <t>Margin:</t>
  </si>
  <si>
    <t>Price Gap:</t>
  </si>
  <si>
    <t>Action Status:</t>
  </si>
  <si>
    <t>Suppliers</t>
  </si>
  <si>
    <t>Return Rate</t>
  </si>
  <si>
    <t>Product</t>
  </si>
  <si>
    <t>Unit sold</t>
  </si>
  <si>
    <t>Margin (%)</t>
  </si>
  <si>
    <t>25% Freight Increase (Margin &lt; 55%)</t>
  </si>
  <si>
    <t>Factory Cost</t>
  </si>
  <si>
    <t>Retail Price</t>
  </si>
  <si>
    <t>Competitor Price Index</t>
  </si>
  <si>
    <t>Previous Margin</t>
  </si>
  <si>
    <t>Post-Freight Margin</t>
  </si>
  <si>
    <t>The Critical Hit List</t>
  </si>
  <si>
    <t>Unit Sold</t>
  </si>
  <si>
    <t>Lead Time (Week)</t>
  </si>
  <si>
    <t>🔴 Critical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</si>
</sst>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6C7687"/>
        <bgColor rgb="FF6C7687"/>
      </patternFill>
    </fill>
    <fill>
      <patternFill patternType="solid">
        <fgColor rgb="FF7F94B4"/>
        <bgColor rgb="FF7F94B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2" xfId="0" applyAlignment="1" applyFont="1" applyNumberFormat="1">
      <alignment readingOrder="0"/>
    </xf>
    <xf borderId="0" fillId="0" fontId="1" numFmtId="0" xfId="0" applyFont="1"/>
    <xf borderId="0" fillId="0" fontId="1" numFmtId="2" xfId="0" applyFont="1" applyNumberFormat="1"/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0" fillId="4" fontId="1" numFmtId="0" xfId="0" applyAlignment="1" applyFont="1">
      <alignment horizontal="center"/>
    </xf>
    <xf borderId="0" fillId="4" fontId="1" numFmtId="2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2" xfId="0" applyAlignment="1" applyFont="1" applyNumberFormat="1">
      <alignment horizontal="center"/>
    </xf>
    <xf borderId="0" fillId="5" fontId="4" numFmtId="0" xfId="0" applyAlignment="1" applyFill="1" applyFont="1">
      <alignment horizontal="center" readingOrder="0"/>
    </xf>
    <xf borderId="0" fillId="6" fontId="4" numFmtId="0" xfId="0" applyFill="1" applyFont="1"/>
    <xf borderId="0" fillId="0" fontId="2" numFmtId="0" xfId="0" applyFont="1"/>
    <xf borderId="0" fillId="6" fontId="4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Lead Time VS Units Sold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Addition!$J$1:$J$1000</c:f>
            </c:numRef>
          </c:xVal>
          <c:yVal>
            <c:numRef>
              <c:f>Addition!$M$1:$M$1000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79656"/>
        <c:axId val="292935333"/>
      </c:scatterChart>
      <c:valAx>
        <c:axId val="1452796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2935333"/>
      </c:valAx>
      <c:valAx>
        <c:axId val="292935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Lead time (week)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2796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Margin VS Units Sold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Addition!$P$1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Addition!$J$2:$J$1000</c:f>
            </c:numRef>
          </c:xVal>
          <c:yVal>
            <c:numRef>
              <c:f>Addition!$P$2:$P$1000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296433"/>
        <c:axId val="1919569275"/>
      </c:scatterChart>
      <c:valAx>
        <c:axId val="15752964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9569275"/>
      </c:valAx>
      <c:valAx>
        <c:axId val="1919569275"/>
        <c:scaling>
          <c:orientation val="minMax"/>
          <c:min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Margins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52964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95250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101" sheet="Addition"/>
  </cacheSource>
  <cacheFields>
    <cacheField name="SKU" numFmtId="0">
      <sharedItems>
        <s v="FUR-CHR-037"/>
        <s v="FUR-DIN-066"/>
        <s v="FUR-CHR-077"/>
        <s v="FUR-DIN-074"/>
        <s v="FUR-CHR-045"/>
        <s v="FUR-OK-002"/>
        <s v="FUR-OFF-083"/>
        <s v="FUR-SOF-092"/>
        <s v="FUR-STO-016"/>
        <s v="FUR-OFF-075"/>
        <s v="FUR-DIN-021"/>
        <s v="FUR-DIN-042"/>
        <s v="FUR-STO-088"/>
        <s v="FUR-CHR-020"/>
        <s v="FUR-WAL-004"/>
        <s v="FUR-BED-047"/>
        <s v="FUR-ACC-057"/>
        <s v="FUR-OFF-091"/>
        <s v="FUR-DIN-050"/>
        <s v="FUR-LTG-086"/>
        <s v="FUR-WAL-003"/>
        <s v="FUR-BED-071"/>
        <s v="FUR-STO-064"/>
        <s v="FUR-DIN-098"/>
        <s v="FUR-ACC-097"/>
        <s v="FUR-ACC-073"/>
        <s v="FUR-OFF-028"/>
        <s v="FUR-DIN-035"/>
        <s v="FUR-SOF-044"/>
        <s v="FUR-CHR-093"/>
        <s v="FUR-STO-080"/>
        <s v="FUR-CHR-013"/>
        <s v="FUR-RNT-012"/>
        <s v="FUR-LTG-078"/>
        <s v="FUR-LTG-014"/>
        <s v="FUR-SOF-084"/>
        <s v="FUR-STO-040"/>
        <s v="FUR-SOF-100"/>
        <s v="FUR-ACC-018"/>
        <s v="FUR-DIN-027"/>
        <s v="FUR-ACC-026"/>
        <s v="FUR-STO-033"/>
        <s v="FUR-SOF-052"/>
        <s v="FUR-MAR-009"/>
        <s v="FUR-CHR-085"/>
        <s v="FUR-STO-072"/>
        <s v="FUR-BED-095"/>
        <s v="FUR-OFF-067"/>
        <s v="FUR-STO-056"/>
        <s v="FUR-CHR-030"/>
        <s v="FUR-OFF-059"/>
        <s v="FUR-LTG-038"/>
        <s v="FUR-BED-032"/>
        <s v="FUR-OK-001"/>
        <s v="FUR-ACC-041"/>
        <s v="FUR-DIN-090"/>
        <s v="FUR-SOF-060"/>
        <s v="FUR-DIN-058"/>
        <s v="FUR-MAR-010"/>
        <s v="FUR-LTG-031"/>
        <s v="FUR-OFF-099"/>
        <s v="FUR-LTG-062"/>
        <s v="FUR-RNT-011"/>
        <s v="FUR-OFF-043"/>
        <s v="FUR-VEL-008"/>
        <s v="FUR-SOF-024"/>
        <s v="FUR-BED-015"/>
        <s v="FUR-LTG-094"/>
        <s v="FUR-LTG-054"/>
        <s v="FUR-BED-063"/>
        <s v="FUR-VEL-007"/>
        <s v="FUR-LTG-070"/>
        <s v="FUR-LTG-046"/>
        <s v="FUR-BED-079"/>
        <s v="FUR-BOC-006"/>
        <s v="FUR-BED-087"/>
        <s v="FUR-STO-023"/>
        <s v="FUR-STO-048"/>
        <s v="FUR-BED-025"/>
        <s v="FUR-SOF-019"/>
        <s v="FUR-CHR-053"/>
        <s v="FUR-CHR-069"/>
        <s v="FUR-LTG-022"/>
        <s v="FUR-CHR-061"/>
        <s v="FUR-SOF-068"/>
        <s v="FUR-DIN-082"/>
        <s v="FUR-SOF-036"/>
        <s v="FUR-STO-096"/>
        <s v="FUR-BED-055"/>
        <s v="FUR-OFF-051"/>
        <s v="FUR-DIN-017"/>
        <s v="FUR-ACC-089"/>
        <s v="FUR-ACC-065"/>
        <s v="FUR-ACC-034"/>
        <s v="FUR-ACC-049"/>
        <s v="FUR-BED-039"/>
        <s v="FUR-BOC-005"/>
        <s v="FUR-ACC-081"/>
        <s v="FUR-SOF-076"/>
        <s v="FUR-SOF-029"/>
      </sharedItems>
    </cacheField>
    <cacheField name="Product_Name" numFmtId="0">
      <sharedItems>
        <s v="Folding Chair"/>
        <s v="Folding Dining Table"/>
        <s v="Patio Chair"/>
        <s v="Glass Dining Table"/>
        <s v="Bar Stool Set"/>
        <s v="Finn Coffee Table"/>
        <s v="Bookshelf Ladder"/>
        <s v="Futon Mattress"/>
        <s v="Minimalist Bookcase"/>
        <s v="Drafting Stool"/>
        <s v="Bistro Table"/>
        <s v="Round Table"/>
        <s v="Locker Cabinet"/>
        <s v="Swivel Desk Chair"/>
        <s v="Maya Media Unit"/>
        <s v="Bedside Table"/>
        <s v="Woven Basket"/>
        <s v="Office Guest Chair"/>
        <s v="Marble Console"/>
        <s v="Outdoor String Lights"/>
        <s v="Maya Sideboard"/>
        <s v="Toddler Bed"/>
        <s v="Shoe Rack"/>
        <s v="Counter Height Table"/>
        <s v="Door Mat"/>
        <s v="Candle Holder Set"/>
        <s v="Standing Desk"/>
        <s v="Velvet Bench"/>
        <s v="Recliner Chair"/>
        <s v="Plastic Side Chair"/>
        <s v="Corner Unit"/>
        <s v="Eames-Style Lounge"/>
        <s v="Koda Headboard"/>
        <s v="Pendant Copper"/>
        <s v="Industrial Floor Lamp"/>
        <s v="Armless Sofa"/>
        <s v="Wardrobe 2-Door"/>
        <s v="Pet Sofa"/>
        <s v="Organic Mirror"/>
        <s v="Bar Cart"/>
        <s v="Geometric Rug"/>
        <s v="Sideboard Large"/>
        <s v="Velvet Ottoman"/>
        <s v="Luna Coffee Table"/>
        <s v="Saddle Stool"/>
        <s v="Coffee Table w/ Drawers"/>
        <s v="Canopy Bed"/>
        <s v="Task Lamp"/>
        <s v="Tallboy Chest"/>
        <s v="Wishbone Chair"/>
        <s v="Monitor Stand"/>
        <s v="Desk Lamp"/>
        <s v="Nightstand Pair"/>
        <s v="Juno Dining Table"/>
        <s v="Floor Vase"/>
        <s v="Trestle Table"/>
        <s v="Sofa Bed"/>
        <s v="Industrial Bench"/>
        <s v="Luna Side Table"/>
        <s v="Pendant Cluster"/>
        <s v="Under-Desk Pedestal"/>
        <s v="Paper Lantern"/>
        <s v="Koda Bed Frame"/>
        <s v="File Cabinet"/>
        <s v="Ivy Bar Stool"/>
        <s v="Loveseat Sleeper"/>
        <s v="Velvet Tufted Bed"/>
        <s v="Neon Sign"/>
        <s v="Lava Lamp"/>
        <s v="Bunk Bed"/>
        <s v="Ivy Dining Chair"/>
        <s v="Spotlight Bar"/>
        <s v="Globe Chandelier"/>
        <s v="Murphy Bed"/>
        <s v="Arlo 3-Seater"/>
        <s v="Platform Bed"/>
        <s v="Floating Shelves"/>
        <s v="Display Cabinet"/>
        <s v="Storage Ottoman"/>
        <s v="Modular Corner Sofa"/>
        <s v="Occasional Chair"/>
        <s v="Rocking Chair"/>
        <s v="Art Deco Sconce"/>
        <s v="Tub Chair"/>
        <s v="Sectional Left-Hand"/>
        <s v="Zinc Top Table"/>
        <s v="Daybed"/>
        <s v="Floating Vanity"/>
        <s v="Memory Foam Mattress"/>
        <s v="Leather Desk Pad"/>
        <s v="Extendable Table"/>
        <s v="Picture Frame A3"/>
        <s v="Throw Blanket"/>
        <s v="Wall Clock"/>
        <s v="Wall Art Set"/>
        <s v="Upholstered Headboard"/>
        <s v="Arlo Armchair"/>
        <s v="Scented Candle"/>
        <s v="Chaise Longue"/>
        <s v="Chesterfield Sofa"/>
      </sharedItems>
    </cacheField>
    <cacheField name="Category" numFmtId="0">
      <sharedItems>
        <s v="Outdoor"/>
        <s v="Dining"/>
        <s v="Living"/>
        <s v="Office"/>
        <s v="Upholstery"/>
        <s v="Storage"/>
        <s v="Bedroom"/>
        <s v="Accessories"/>
        <s v="Lighting"/>
      </sharedItems>
    </cacheField>
    <cacheField name="Material" numFmtId="0">
      <sharedItems>
        <s v="Teak"/>
        <s v="MDF/Veneer"/>
        <s v="Poly-Rattan"/>
        <s v="Tempered Glass"/>
        <s v="Industrial Steel"/>
        <s v="Solid Oak"/>
        <s v="Pine"/>
        <s v="Cotton"/>
        <s v="Oak Veneer"/>
        <s v="Poly"/>
        <s v="Marble/Iron"/>
        <s v="Glass/Chrome"/>
        <s v="Metal"/>
        <s v="Mesh/Steel"/>
        <s v="Walnut Veneer"/>
        <s v="Rattan"/>
        <s v="Seagrass"/>
        <s v="Fabric"/>
        <s v="White Marble"/>
        <s v="Plastic"/>
        <s v="Solid Birch"/>
        <s v="Bamboo"/>
        <s v="Acacia"/>
        <s v="Coir"/>
        <s v="Iron"/>
        <s v="Velvet"/>
        <s v="Faux Leather"/>
        <s v="Polyprop"/>
        <s v="Oak"/>
        <s v="Leather/Walnut"/>
        <s v="Copper"/>
        <s v="Black Steel"/>
        <s v="Denim"/>
        <s v="Fleece"/>
        <s v="Glass/Brass"/>
        <s v="Gold/Glass"/>
        <s v="Wool"/>
        <s v="Mango Wood"/>
        <s v="Travertine"/>
        <s v="Leather"/>
        <s v="Walnut"/>
        <s v="LED/Steel"/>
        <s v="Beech"/>
        <s v="Chrome"/>
        <s v="Ceramic"/>
        <s v="Grey Marl"/>
        <s v="Reclaimed Wood"/>
        <s v="Steel"/>
        <s v="Paper/Bamboo"/>
        <s v="Chenille"/>
        <s v="LED/Acrylic"/>
        <s v="Glass"/>
        <s v="Nickel"/>
        <s v="Brass"/>
        <s v="White Laminate"/>
        <s v="Bouclé"/>
        <s v="Plywood"/>
        <s v="Black Oak"/>
        <s v="Linen"/>
        <s v="Felt"/>
        <s v="Ash Wood"/>
        <s v="Brass/Glass"/>
        <s v="Zinc/Oak"/>
        <s v="Foam"/>
        <s v="Solid Ash"/>
        <s v="Wood"/>
        <s v="Cashmere"/>
        <s v="Concrete"/>
        <s v="Canvas"/>
        <s v="Wax"/>
        <s v="Silk Blend"/>
        <s v="Top-Grain Leather"/>
      </sharedItems>
    </cacheField>
    <cacheField name="Supplier_Region" numFmtId="0">
      <sharedItems>
        <s v="Indonesia"/>
        <s v="China"/>
        <s v="Vietnam"/>
        <s v="Japan"/>
        <s v="India"/>
        <s v="Poland"/>
        <s v="Italy"/>
        <s v="Portugal"/>
        <s v="UK"/>
        <s v="Scotland"/>
      </sharedItems>
    </cacheField>
    <cacheField name="Factory_Cost_USD" numFmtId="0">
      <sharedItems containsSemiMixedTypes="0" containsString="0" containsNumber="1" containsInteger="1">
        <n v="45.0"/>
        <n v="85.0"/>
        <n v="42.0"/>
        <n v="160.0"/>
        <n v="65.0"/>
        <n v="75.0"/>
        <n v="55.0"/>
        <n v="120.0"/>
        <n v="95.0"/>
        <n v="110.0"/>
        <n v="140.0"/>
        <n v="12.0"/>
        <n v="180.0"/>
        <n v="18.0"/>
        <n v="145.0"/>
        <n v="5.0"/>
        <n v="15.0"/>
        <n v="35.0"/>
        <n v="165.0"/>
        <n v="210.0"/>
        <n v="38.0"/>
        <n v="28.0"/>
        <n v="280.0"/>
        <n v="240.0"/>
        <n v="25.0"/>
        <n v="32.0"/>
        <n v="22.0"/>
        <n v="185.0"/>
        <n v="52.0"/>
        <n v="24.0"/>
        <n v="320.0"/>
        <n v="350.0"/>
        <n v="8.0"/>
        <n v="290.0"/>
        <n v="220.0"/>
        <n v="450.0"/>
        <n v="650.0"/>
        <n v="720.0"/>
        <n v="480.0"/>
        <n v="380.0"/>
        <n v="6.0"/>
        <n v="550.0"/>
        <n v="850.0"/>
      </sharedItems>
    </cacheField>
    <cacheField name="Freight_Cost_GBP" numFmtId="0">
      <sharedItems containsSemiMixedTypes="0" containsString="0" containsNumber="1" containsInteger="1">
        <n v="22.0"/>
        <n v="45.0"/>
        <n v="28.0"/>
        <n v="95.0"/>
        <n v="35.0"/>
        <n v="25.0"/>
        <n v="65.0"/>
        <n v="55.0"/>
        <n v="50.0"/>
        <n v="8.0"/>
        <n v="85.0"/>
        <n v="10.0"/>
        <n v="5.0"/>
        <n v="75.0"/>
        <n v="15.0"/>
        <n v="12.0"/>
        <n v="18.0"/>
        <n v="40.0"/>
        <n v="110.0"/>
        <n v="2.0"/>
      </sharedItems>
    </cacheField>
    <cacheField name="Duty_Rate" numFmtId="0">
      <sharedItems containsSemiMixedTypes="0" containsString="0" containsNumber="1">
        <n v="0.04"/>
        <n v="0.02"/>
        <n v="0.0"/>
      </sharedItems>
    </cacheField>
    <cacheField name="Retail_Price_Ex_VAT" numFmtId="0">
      <sharedItems containsSemiMixedTypes="0" containsString="0" containsNumber="1" containsInteger="1">
        <n v="125.0"/>
        <n v="245.0"/>
        <n v="135.0"/>
        <n v="495.0"/>
        <n v="195.0"/>
        <n v="185.0"/>
        <n v="450.0"/>
        <n v="295.0"/>
        <n v="165.0"/>
        <n v="395.0"/>
        <n v="345.0"/>
        <n v="175.0"/>
        <n v="45.0"/>
        <n v="145.0"/>
        <n v="550.0"/>
        <n v="65.0"/>
        <n v="25.0"/>
        <n v="55.0"/>
        <n v="595.0"/>
        <n v="115.0"/>
        <n v="695.0"/>
        <n v="95.0"/>
        <n v="850.0"/>
        <n v="750.0"/>
        <n v="89.0"/>
        <n v="225.0"/>
        <n v="79.0"/>
        <n v="650.0"/>
        <n v="49.0"/>
        <n v="85.0"/>
        <n v="950.0"/>
        <n v="1050.0"/>
        <n v="325.0"/>
        <n v="35.0"/>
        <n v="1450.0"/>
        <n v="1250.0"/>
        <n v="1950.0"/>
        <n v="75.0"/>
        <n v="2250.0"/>
        <n v="1550.0"/>
        <n v="1150.0"/>
        <n v="1100.0"/>
        <n v="29.0"/>
        <n v="1850.0"/>
        <n v="2800.0"/>
      </sharedItems>
    </cacheField>
    <cacheField name="Units_Sold_Q1" numFmtId="0">
      <sharedItems containsSemiMixedTypes="0" containsString="0" containsNumber="1" containsInteger="1">
        <n v="250.0"/>
        <n v="82.0"/>
        <n v="420.0"/>
        <n v="34.0"/>
        <n v="115.0"/>
        <n v="210.0"/>
        <n v="165.0"/>
        <n v="55.0"/>
        <n v="110.0"/>
        <n v="85.0"/>
        <n v="62.0"/>
        <n v="310.0"/>
        <n v="112.0"/>
        <n v="220.0"/>
        <n v="620.0"/>
        <n v="130.0"/>
        <n v="48.0"/>
        <n v="750.0"/>
        <n v="88.0"/>
        <n v="410.0"/>
        <n v="52.0"/>
        <n v="950.0"/>
        <n v="320.0"/>
        <n v="95.0"/>
        <n v="140.0"/>
        <n v="78.0"/>
        <n v="38.0"/>
        <n v="42.0"/>
        <n v="145.0"/>
        <n v="215.0"/>
        <n v="25.0"/>
        <n v="18.0"/>
        <n v="180.0"/>
        <n v="185.0"/>
        <n v="45.0"/>
        <n v="72.0"/>
        <n v="230.0"/>
        <n v="480.0"/>
        <n v="380.0"/>
        <n v="195.0"/>
        <n v="75.0"/>
        <n v="22.0"/>
        <n v="890.0"/>
        <n v="240.0"/>
        <n v="550.0"/>
        <n v="560.0"/>
        <n v="160.0"/>
        <n v="32.0"/>
        <n v="10.0"/>
        <n v="26.0"/>
        <n v="190.0"/>
        <n v="15.0"/>
        <n v="65.0"/>
        <n v="28.0"/>
        <n v="12.0"/>
        <n v="24.0"/>
        <n v="850.0"/>
        <n v="1200.0"/>
        <n v="8.0"/>
      </sharedItems>
    </cacheField>
    <cacheField name="Return_Rate_Pct" numFmtId="0">
      <sharedItems containsSemiMixedTypes="0" containsString="0" containsNumber="1">
        <n v="5.2"/>
        <n v="6.2"/>
        <n v="8.5"/>
        <n v="2.3"/>
        <n v="1.8"/>
        <n v="3.2"/>
        <n v="1.9"/>
        <n v="2.5"/>
        <n v="2.6"/>
        <n v="8.1"/>
        <n v="4.4"/>
        <n v="3.9"/>
        <n v="4.1"/>
        <n v="7.1"/>
        <n v="3.5"/>
        <n v="2.7"/>
        <n v="9.2"/>
        <n v="4.5"/>
        <n v="3.1"/>
        <n v="2.1"/>
        <n v="3.3"/>
        <n v="1.2"/>
        <n v="1.1"/>
        <n v="3.4"/>
        <n v="5.1"/>
        <n v="0.7"/>
        <n v="2.4"/>
        <n v="8.2"/>
        <n v="1.5"/>
        <n v="4.8"/>
        <n v="2.2"/>
        <n v="7.2"/>
        <n v="5.6"/>
        <n v="6.5"/>
        <n v="2.9"/>
        <n v="3.8"/>
        <n v="2.8"/>
        <n v="0.8"/>
        <n v="0.9"/>
        <n v="9.5"/>
        <n v="4.2"/>
        <n v="5.5"/>
        <n v="0.5"/>
        <n v="1.4"/>
        <n v="0.4"/>
        <n v="0.2"/>
      </sharedItems>
    </cacheField>
    <cacheField name="Competitor_Price_Ex_VAT" numFmtId="0">
      <sharedItems containsSemiMixedTypes="0" containsString="0" containsNumber="1" containsInteger="1">
        <n v="145.0"/>
        <n v="275.0"/>
        <n v="155.0"/>
        <n v="595.0"/>
        <n v="225.0"/>
        <n v="210.0"/>
        <n v="495.0"/>
        <n v="325.0"/>
        <n v="185.0"/>
        <n v="450.0"/>
        <n v="395.0"/>
        <n v="195.0"/>
        <n v="55.0"/>
        <n v="165.0"/>
        <n v="650.0"/>
        <n v="75.0"/>
        <n v="550.0"/>
        <n v="30.0"/>
        <n v="65.0"/>
        <n v="135.0"/>
        <n v="850.0"/>
        <n v="110.0"/>
        <n v="950.0"/>
        <n v="99.0"/>
        <n v="350.0"/>
        <n v="750.0"/>
        <n v="250.0"/>
        <n v="1100.0"/>
        <n v="95.0"/>
        <n v="725.0"/>
        <n v="59.0"/>
        <n v="420.0"/>
        <n v="1050.0"/>
        <n v="1200.0"/>
        <n v="375.0"/>
        <n v="45.0"/>
        <n v="35.0"/>
        <n v="1650.0"/>
        <n v="1400.0"/>
        <n v="2200.0"/>
        <n v="85.0"/>
        <n v="2500.0"/>
        <n v="1800.0"/>
        <n v="1300.0"/>
        <n v="1250.0"/>
        <n v="2100.0"/>
        <n v="3200.0"/>
      </sharedItems>
    </cacheField>
    <cacheField name="Lead_Time_Weeks" numFmtId="0">
      <sharedItems containsSemiMixedTypes="0" containsString="0" containsNumber="1" containsInteger="1">
        <n v="18.0"/>
        <n v="12.0"/>
        <n v="14.0"/>
        <n v="16.0"/>
        <n v="10.0"/>
        <n v="7.0"/>
        <n v="5.0"/>
        <n v="4.0"/>
        <n v="8.0"/>
        <n v="9.0"/>
        <n v="3.0"/>
        <n v="6.0"/>
        <n v="2.0"/>
        <n v="1.0"/>
      </sharedItems>
    </cacheField>
    <cacheField name="Factory_Cost_GBP" numFmtId="0">
      <sharedItems containsSemiMixedTypes="0" containsString="0" containsNumber="1">
        <n v="33.75"/>
        <n v="63.75"/>
        <n v="31.5"/>
        <n v="120.0"/>
        <n v="48.75"/>
        <n v="56.25"/>
        <n v="41.25"/>
        <n v="90.0"/>
        <n v="71.25"/>
        <n v="82.5"/>
        <n v="105.0"/>
        <n v="9.0"/>
        <n v="135.0"/>
        <n v="13.5"/>
        <n v="108.75"/>
        <n v="3.75"/>
        <n v="11.25"/>
        <n v="26.25"/>
        <n v="123.75"/>
        <n v="157.5"/>
        <n v="28.5"/>
        <n v="21.0"/>
        <n v="210.0"/>
        <n v="180.0"/>
        <n v="18.75"/>
        <n v="24.0"/>
        <n v="16.5"/>
        <n v="138.75"/>
        <n v="39.0"/>
        <n v="18.0"/>
        <n v="240.0"/>
        <n v="262.5"/>
        <n v="6.0"/>
        <n v="217.5"/>
        <n v="165.0"/>
        <n v="337.5"/>
        <n v="487.5"/>
        <n v="540.0"/>
        <n v="360.0"/>
        <n v="285.0"/>
        <n v="4.5"/>
        <n v="412.5"/>
        <n v="637.5"/>
      </sharedItems>
    </cacheField>
    <cacheField name="Total_Land_Cost" numFmtId="2">
      <sharedItems containsSemiMixedTypes="0" containsString="0" containsNumber="1">
        <n v="57.980000000000004"/>
        <n v="110.925"/>
        <n v="60.69"/>
        <n v="219.3"/>
        <n v="85.425"/>
        <n v="84.5"/>
        <n v="79.3"/>
        <n v="192.4"/>
        <n v="120.9"/>
        <n v="67.575"/>
        <n v="161.20000000000002"/>
        <n v="140.25"/>
        <n v="118.575"/>
        <n v="78.285"/>
        <n v="158.1"/>
        <n v="68.9"/>
        <n v="17.68"/>
        <n v="56.865"/>
        <n v="213.20000000000002"/>
        <n v="17.34"/>
        <n v="204.0"/>
        <n v="127.5"/>
        <n v="23.97"/>
        <n v="180.70000000000002"/>
        <n v="9.1"/>
        <n v="20.02"/>
        <n v="163.2"/>
        <n v="88.75"/>
        <n v="214.20000000000002"/>
        <n v="41.25"/>
        <n v="196.3"/>
        <n v="247.35"/>
        <n v="87.10000000000001"/>
        <n v="44.37"/>
        <n v="33.660000000000004"/>
        <n v="300.9"/>
        <n v="265.0"/>
        <n v="31.365000000000002"/>
        <n v="43.68"/>
        <n v="64.515"/>
        <n v="102.7"/>
        <n v="241.8"/>
        <n v="78.25"/>
        <n v="295.0"/>
        <n v="170.3"/>
        <n v="257.55"/>
        <n v="27.03"/>
        <n v="222.3"/>
        <n v="59.28"/>
        <n v="16.575"/>
        <n v="28.560000000000002"/>
        <n v="132.6"/>
        <n v="38.25"/>
        <n v="315.0"/>
        <n v="347.5"/>
        <n v="107.5"/>
        <n v="130.0"/>
        <n v="47.43"/>
        <n v="63.75"/>
        <n v="11.440000000000001"/>
        <n v="223.6"/>
        <n v="78.75"/>
        <n v="56.25"/>
        <n v="305.0"/>
        <n v="272.5"/>
        <n v="52.785000000000004"/>
        <n v="14.280000000000001"/>
        <n v="220.0"/>
        <n v="45.75"/>
        <n v="39.015"/>
        <n v="153.0"/>
        <n v="447.5"/>
        <n v="382.5"/>
        <n v="150.0"/>
        <n v="43.75"/>
        <n v="285.0"/>
        <n v="97.5"/>
        <n v="582.5"/>
        <n v="133.75"/>
        <n v="192.5"/>
        <n v="21.93"/>
        <n v="160.0"/>
        <n v="650.0"/>
        <n v="445.0"/>
        <n v="330.0"/>
        <n v="170.0"/>
        <n v="18.5"/>
        <n v="310.0"/>
        <n v="8.0"/>
        <n v="53.75"/>
        <n v="21.5"/>
        <n v="23.75"/>
        <n v="105.0"/>
        <n v="172.5"/>
        <n v="6.5"/>
        <n v="477.5"/>
        <n v="702.5"/>
      </sharedItems>
    </cacheField>
    <cacheField name="Margin_Pct" numFmtId="2">
      <sharedItems containsSemiMixedTypes="0" containsString="0" containsNumber="1">
        <n v="53.616"/>
        <n v="54.724489795918366"/>
        <n v="55.04444444444445"/>
        <n v="55.69696969696969"/>
        <n v="56.19230769230769"/>
        <n v="56.666666666666664"/>
        <n v="57.13513513513514"/>
        <n v="57.244444444444454"/>
        <n v="59.016949152542374"/>
        <n v="59.04545454545455"/>
        <n v="59.189873417721515"/>
        <n v="59.34782608695652"/>
        <n v="59.80508474576271"/>
        <n v="59.853846153846156"/>
        <n v="59.9746835443038"/>
        <n v="60.62857142857142"/>
        <n v="60.711111111111116"/>
        <n v="60.78275862068965"/>
        <n v="61.236363636363635"/>
        <n v="61.46666666666667"/>
        <n v="62.909090909090914"/>
        <n v="63.04347826086957"/>
        <n v="63.12307692307692"/>
        <n v="63.49494949494948"/>
        <n v="63.6"/>
        <n v="63.60000000000001"/>
        <n v="63.733333333333334"/>
        <n v="63.775510204081634"/>
        <n v="63.99999999999999"/>
        <n v="64.13043478260869"/>
        <n v="64.3090909090909"/>
        <n v="64.41007194244604"/>
        <n v="64.44897959183673"/>
        <n v="64.50399999999999"/>
        <n v="64.56842105263158"/>
        <n v="64.60000000000001"/>
        <n v="64.66666666666666"/>
        <n v="64.75842696629213"/>
        <n v="65.056"/>
        <n v="65.12702702702703"/>
        <n v="65.1864406779661"/>
        <n v="65.20863309352518"/>
        <n v="65.22222222222223"/>
        <n v="65.29411764705883"/>
        <n v="65.51020408163265"/>
        <n v="65.5959595959596"/>
        <n v="65.66"/>
        <n v="65.78481012658227"/>
        <n v="65.8"/>
        <n v="66.12571428571428"/>
        <n v="66.1734693877551"/>
        <n v="66.39999999999999"/>
        <n v="66.43037974683543"/>
        <n v="66.73913043478261"/>
        <n v="66.84210526315789"/>
        <n v="66.9047619047619"/>
        <n v="66.92307692307692"/>
        <n v="67.08860759493672"/>
        <n v="67.28965517241379"/>
        <n v="67.3076923076923"/>
        <n v="67.31428571428572"/>
        <n v="67.8273381294964"/>
        <n v="67.85714285714286"/>
        <n v="67.89473684210526"/>
        <n v="67.94117647058823"/>
        <n v="68.0090909090909"/>
        <n v="68.26666666666667"/>
        <n v="68.34532374100719"/>
        <n v="68.44827586206897"/>
        <n v="68.78800000000001"/>
        <n v="69.0909090909091"/>
        <n v="69.13793103448276"/>
        <n v="69.39999999999999"/>
        <n v="69.6969696969697"/>
        <n v="69.82758620689656"/>
        <n v="70.0"/>
        <n v="70.12820512820512"/>
        <n v="70.27777777777777"/>
        <n v="70.38461538461539"/>
        <n v="70.76"/>
        <n v="70.9090909090909"/>
        <n v="71.11111111111111"/>
        <n v="71.29032258064515"/>
        <n v="71.30434782608695"/>
        <n v="71.42857142857143"/>
        <n v="71.53846153846153"/>
        <n v="71.81818181818181"/>
        <n v="72.41379310344827"/>
        <n v="72.43589743589743"/>
        <n v="72.78481012658227"/>
        <n v="73.31460674157303"/>
        <n v="73.41772151898735"/>
        <n v="73.46153846153847"/>
        <n v="74.0"/>
        <n v="74.1891891891892"/>
        <n v="74.91071428571429"/>
      </sharedItems>
    </cacheField>
    <cacheField name="Competitor_Price_Index" numFmtId="2">
      <sharedItems containsSemiMixedTypes="0" containsString="0" containsNumber="1">
        <n v="86.20689655172413"/>
        <n v="89.0909090909091"/>
        <n v="87.09677419354838"/>
        <n v="83.19327731092437"/>
        <n v="86.66666666666667"/>
        <n v="88.09523809523809"/>
        <n v="90.9090909090909"/>
        <n v="90.76923076923077"/>
        <n v="89.1891891891892"/>
        <n v="87.77777777777777"/>
        <n v="87.34177215189874"/>
        <n v="92.85714285714286"/>
        <n v="89.74358974358975"/>
        <n v="81.81818181818183"/>
        <n v="87.87878787878788"/>
        <n v="84.61538461538461"/>
        <n v="92.43697478991596"/>
        <n v="90.0"/>
        <n v="83.33333333333334"/>
        <n v="91.53846153846153"/>
        <n v="85.18518518518519"/>
        <n v="81.76470588235294"/>
        <n v="86.36363636363636"/>
        <n v="89.47368421052632"/>
        <n v="88.23529411764706"/>
        <n v="89.8989898989899"/>
        <n v="82.22222222222221"/>
        <n v="84.28571428571429"/>
        <n v="92.66666666666666"/>
        <n v="77.27272727272727"/>
        <n v="83.15789473684211"/>
        <n v="89.65517241379311"/>
        <n v="83.05084745762711"/>
        <n v="94.04761904761905"/>
        <n v="79.3103448275862"/>
        <n v="90.47619047619048"/>
        <n v="87.5"/>
        <n v="77.77777777777779"/>
        <n v="128.57142857142858"/>
        <n v="89.28571428571429"/>
        <n v="88.63636363636364"/>
        <n v="86.11111111111111"/>
        <n v="88.46153846153845"/>
        <n v="76.47058823529412"/>
        <n v="88.0"/>
        <n v="82.85714285714286"/>
        <n v="78.0"/>
        <n v="80.9090909090909"/>
        <n v="71.42857142857143"/>
      </sharedItems>
    </cacheField>
    <cacheField name="Land_Cost_25Pct_Up" numFmtId="2">
      <sharedItems containsSemiMixedTypes="0" containsString="0" containsNumber="1">
        <n v="57.980000000000004"/>
        <n v="122.4"/>
        <n v="67.83"/>
        <n v="243.525"/>
        <n v="94.35000000000001"/>
        <n v="91.0"/>
        <n v="88.4"/>
        <n v="192.4"/>
        <n v="132.6"/>
        <n v="73.95"/>
        <n v="161.20000000000002"/>
        <n v="154.275"/>
        <n v="130.05"/>
        <n v="85.425"/>
        <n v="170.85"/>
        <n v="75.4"/>
        <n v="19.76"/>
        <n v="62.475"/>
        <n v="213.20000000000002"/>
        <n v="19.38"/>
        <n v="220.57500000000002"/>
        <n v="127.5"/>
        <n v="26.52"/>
        <n v="197.6"/>
        <n v="9.1"/>
        <n v="20.02"/>
        <n v="177.225"/>
        <n v="88.75"/>
        <n v="233.32500000000002"/>
        <n v="41.25"/>
        <n v="269.025"/>
        <n v="87.10000000000001"/>
        <n v="48.195"/>
        <n v="36.72"/>
        <n v="322.575"/>
        <n v="265.0"/>
        <n v="34.425"/>
        <n v="43.68"/>
        <n v="70.125"/>
        <n v="102.7"/>
        <n v="241.8"/>
        <n v="78.25"/>
        <n v="295.0"/>
        <n v="84.5"/>
        <n v="184.6"/>
        <n v="281.775"/>
        <n v="29.580000000000002"/>
        <n v="63.96"/>
        <n v="17.85"/>
        <n v="31.11"/>
        <n v="144.3"/>
        <n v="38.25"/>
        <n v="315.0"/>
        <n v="347.5"/>
        <n v="107.5"/>
        <n v="130.0"/>
        <n v="51.255"/>
        <n v="63.75"/>
        <n v="12.74"/>
        <n v="223.6"/>
        <n v="78.75"/>
        <n v="56.25"/>
        <n v="305.0"/>
        <n v="272.5"/>
        <n v="57.375"/>
        <n v="15.555"/>
        <n v="220.0"/>
        <n v="45.75"/>
        <n v="42.075"/>
        <n v="164.475"/>
        <n v="447.5"/>
        <n v="382.5"/>
        <n v="150.0"/>
        <n v="43.75"/>
        <n v="285.0"/>
        <n v="97.5"/>
        <n v="582.5"/>
        <n v="133.75"/>
        <n v="192.5"/>
        <n v="23.97"/>
        <n v="160.0"/>
        <n v="650.0"/>
        <n v="445.0"/>
        <n v="330.0"/>
        <n v="170.0"/>
        <n v="18.5"/>
        <n v="310.0"/>
        <n v="8.0"/>
        <n v="53.75"/>
        <n v="21.5"/>
        <n v="23.75"/>
        <n v="105.0"/>
        <n v="172.5"/>
        <n v="6.5"/>
        <n v="477.5"/>
        <n v="702.5"/>
      </sharedItems>
    </cacheField>
    <cacheField name="Revised_Margin_Pct" numFmtId="2">
      <sharedItems containsSemiMixedTypes="0" containsString="0" containsNumber="1">
        <n v="53.616"/>
        <n v="50.04081632653061"/>
        <n v="49.75555555555556"/>
        <n v="50.803030303030305"/>
        <n v="51.615384615384606"/>
        <n v="53.333333333333336"/>
        <n v="52.21621621621622"/>
        <n v="57.244444444444454"/>
        <n v="55.050847457627114"/>
        <n v="55.18181818181817"/>
        <n v="59.189873417721515"/>
        <n v="55.28260869565217"/>
        <n v="55.91525423728814"/>
        <n v="56.19230769230769"/>
        <n v="56.74683544303798"/>
        <n v="56.914285714285704"/>
        <n v="56.08888888888889"/>
        <n v="56.913793103448285"/>
        <n v="61.236363636363635"/>
        <n v="56.93333333333334"/>
        <n v="59.89545454545454"/>
        <n v="63.04347826086957"/>
        <n v="59.20000000000001"/>
        <n v="60.080808080808076"/>
        <n v="63.6"/>
        <n v="63.60000000000001"/>
        <n v="60.61666666666666"/>
        <n v="63.775510204081634"/>
        <n v="60.78571428571428"/>
        <n v="64.13043478260869"/>
        <n v="61.29136690647482"/>
        <n v="64.44897959183673"/>
        <n v="61.44400000000001"/>
        <n v="61.34736842105263"/>
        <n v="62.05"/>
        <n v="64.66666666666666"/>
        <n v="61.32022471910113"/>
        <n v="65.056"/>
        <n v="62.0945945945946"/>
        <n v="65.1864406779661"/>
        <n v="65.20863309352518"/>
        <n v="65.22222222222223"/>
        <n v="65.29411764705883"/>
        <n v="65.51020408163265"/>
        <n v="62.7070707070707"/>
        <n v="62.43000000000001"/>
        <n v="62.55696202531645"/>
        <n v="62.8"/>
        <n v="63.45142857142857"/>
        <n v="63.57142857142857"/>
        <n v="63.4"/>
        <n v="63.46835443037975"/>
        <n v="66.73913043478261"/>
        <n v="66.84210526315789"/>
        <n v="66.9047619047619"/>
        <n v="66.92307692307692"/>
        <n v="67.08860759493672"/>
        <n v="64.65172413793103"/>
        <n v="67.3076923076923"/>
        <n v="63.59999999999999"/>
        <n v="67.8273381294964"/>
        <n v="67.85714285714286"/>
        <n v="67.89473684210526"/>
        <n v="67.94117647058823"/>
        <n v="65.22727272727272"/>
        <n v="65.43333333333334"/>
        <n v="68.34532374100719"/>
        <n v="68.44827586206897"/>
        <n v="66.34"/>
        <n v="66.77272727272727"/>
        <n v="69.13793103448276"/>
        <n v="69.39999999999999"/>
        <n v="69.6969696969697"/>
        <n v="69.82758620689656"/>
        <n v="70.0"/>
        <n v="70.12820512820512"/>
        <n v="70.27777777777777"/>
        <n v="70.38461538461539"/>
        <n v="68.04"/>
        <n v="70.9090909090909"/>
        <n v="71.11111111111111"/>
        <n v="71.29032258064515"/>
        <n v="71.30434782608695"/>
        <n v="71.42857142857143"/>
        <n v="71.53846153846153"/>
        <n v="71.81818181818181"/>
        <n v="72.41379310344827"/>
        <n v="72.43589743589743"/>
        <n v="72.78481012658227"/>
        <n v="73.31460674157303"/>
        <n v="73.41772151898735"/>
        <n v="73.46153846153847"/>
        <n v="74.0"/>
        <n v="74.1891891891892"/>
        <n v="74.91071428571429"/>
      </sharedItems>
    </cacheField>
    <cacheField name="Status" numFmtId="0">
      <sharedItems>
        <s v="🚀Core Range"/>
        <s v="🔴 Critical"/>
        <s v="✅ Sta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roduct quality" cacheId="0" dataCaption="" rowGrandTotals="0" compact="0" compactData="0">
  <location ref="A1:B11" firstHeaderRow="0" firstDataRow="1" firstDataCol="0"/>
  <pivotFields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ter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Suppliers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Factory_Cost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Freight_Cost_GB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uty_Rate" compact="0" outline="0" multipleItemSelectionAllowed="1" showAll="0">
      <items>
        <item x="0"/>
        <item x="1"/>
        <item x="2"/>
        <item t="default"/>
      </items>
    </pivotField>
    <pivotField name="Retail_Price_Ex_V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Units_Sold_Q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Return_Rate_Pc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mpetitor_Price_Ex_V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Lead_Time_Wee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actory_Cost_GB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_Land_Cos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Margin_Pc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mpetitor_Price_Index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Land_Cost_25Pct_Up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Revised_Margin_Pc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</pivotFields>
  <rowFields>
    <field x="4"/>
  </rowFields>
  <dataFields>
    <dataField name="Return Rate" fld="10" subtotal="average" baseField="0"/>
  </dataFields>
</pivotTableDefinition>
</file>

<file path=xl/pivotTables/pivotTable2.xml><?xml version="1.0" encoding="utf-8"?>
<pivotTableDefinition xmlns="http://schemas.openxmlformats.org/spreadsheetml/2006/main" name="25% Freight increase" cacheId="0" dataCaption="" rowGrandTotals="0" createdVersion="6" compact="0" compactData="0">
  <location ref="A4:F11" firstHeaderRow="0" firstDataRow="2" firstDataCol="0" rowPageCount="1" colPageCount="1"/>
  <pivotFields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roduc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>
          <references>
            <reference field="4294967294">
              <x v="4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ter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Supplier_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actory_Cost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Freight_Cost_GB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uty_Rate" compact="0" outline="0" multipleItemSelectionAllowed="1" showAll="0">
      <items>
        <item x="0"/>
        <item x="1"/>
        <item x="2"/>
        <item t="default"/>
      </items>
    </pivotField>
    <pivotField name="Retail_Price_Ex_VA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Units_Sold_Q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Return_Rat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mpetitor_Price_Ex_V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Lead_Time_Wee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actory_Cost_GB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_Land_Cos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Margin_Pct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mpetitor_Price_Index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Land_Cost_25Pct_Up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Revised_Margin_Pct" axis="axisPage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-2"/>
  </colFields>
  <pageFields>
    <pageField fld="18"/>
  </pageFields>
  <dataFields>
    <dataField name="Factory Cost" fld="13" baseField="0"/>
    <dataField name="Retail Price" fld="8" baseField="0"/>
    <dataField name="Competitor Price Index" fld="16" baseField="0"/>
    <dataField name="Previous Margin" fld="15" baseField="0"/>
    <dataField name="Post-Freight Margin" fld="18" baseField="0"/>
  </dataFields>
  <filters>
    <filter fld="18" type="captionLessThan" evalOrder="-1" id="1" stringValue1="55">
      <autoFilter ref="A1">
        <filterColumn colId="0">
          <customFilters>
            <customFilter operator="lessThan" val="55"/>
          </customFilters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Critical Status" cacheId="0" dataCaption="" rowGrandTotals="0" compact="0" compactData="0">
  <location ref="A2:D12" firstHeaderRow="0" firstDataRow="3" firstDataCol="0"/>
  <pivotFields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roduct_Name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ter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Supplier_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actory_Cost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Freight_Cost_GB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uty_Rate" compact="0" outline="0" multipleItemSelectionAllowed="1" showAll="0">
      <items>
        <item x="0"/>
        <item x="1"/>
        <item x="2"/>
        <item t="default"/>
      </items>
    </pivotField>
    <pivotField name="Retail_Price_Ex_V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Units_Sold_Q1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Return_Rat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mpetitor_Price_Ex_V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Lead_Time_Week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actory_Cost_GB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_Land_Cos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Margin_Pc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mpetitor_Price_Index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Land_Cost_25Pct_Up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Revised_Margin_Pc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Status" axis="axisRow" compact="0" outline="0" multipleItemSelectionAllowed="1" showAll="0" sortType="ascending">
      <items>
        <item h="1" x="2"/>
        <item x="1"/>
        <item h="1" x="0"/>
        <item t="default"/>
      </items>
    </pivotField>
  </pivotFields>
  <rowFields>
    <field x="1"/>
    <field x="19"/>
  </rowFields>
  <colFields>
    <field x="-2"/>
  </colFields>
  <dataFields>
    <dataField name="Unit Sold" fld="9" baseField="0"/>
    <dataField name="Lead Time (Week)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5" max="5" width="13.38"/>
    <col customWidth="1" min="6" max="6" width="15.38"/>
    <col customWidth="1" min="7" max="7" width="15.0"/>
    <col customWidth="1" min="9" max="9" width="16.75"/>
    <col customWidth="1" min="11" max="11" width="13.75"/>
    <col customWidth="1" min="12" max="12" width="20.63"/>
    <col customWidth="1" min="13" max="13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110.0</v>
      </c>
      <c r="G2" s="1">
        <v>45.0</v>
      </c>
      <c r="H2" s="1">
        <v>0.04</v>
      </c>
      <c r="I2" s="1">
        <v>395.0</v>
      </c>
      <c r="J2" s="1">
        <v>145.0</v>
      </c>
      <c r="K2" s="1">
        <v>2.1</v>
      </c>
      <c r="L2" s="1">
        <v>420.0</v>
      </c>
      <c r="M2" s="1">
        <v>14.0</v>
      </c>
    </row>
    <row r="3">
      <c r="A3" s="1" t="s">
        <v>18</v>
      </c>
      <c r="B3" s="1" t="s">
        <v>19</v>
      </c>
      <c r="C3" s="1" t="s">
        <v>20</v>
      </c>
      <c r="D3" s="1" t="s">
        <v>16</v>
      </c>
      <c r="E3" s="1" t="s">
        <v>17</v>
      </c>
      <c r="F3" s="1">
        <v>75.0</v>
      </c>
      <c r="G3" s="1">
        <v>25.0</v>
      </c>
      <c r="H3" s="1">
        <v>0.04</v>
      </c>
      <c r="I3" s="1">
        <v>195.0</v>
      </c>
      <c r="J3" s="1">
        <v>210.0</v>
      </c>
      <c r="K3" s="1">
        <v>1.8</v>
      </c>
      <c r="L3" s="1">
        <v>225.0</v>
      </c>
      <c r="M3" s="1">
        <v>14.0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180.0</v>
      </c>
      <c r="G4" s="1">
        <v>65.0</v>
      </c>
      <c r="H4" s="1">
        <v>0.02</v>
      </c>
      <c r="I4" s="1">
        <v>550.0</v>
      </c>
      <c r="J4" s="1">
        <v>88.0</v>
      </c>
      <c r="K4" s="1">
        <v>4.5</v>
      </c>
      <c r="L4" s="1">
        <v>595.0</v>
      </c>
      <c r="M4" s="1">
        <v>12.0</v>
      </c>
    </row>
    <row r="5">
      <c r="A5" s="1" t="s">
        <v>26</v>
      </c>
      <c r="B5" s="1" t="s">
        <v>27</v>
      </c>
      <c r="C5" s="1" t="s">
        <v>23</v>
      </c>
      <c r="D5" s="1" t="s">
        <v>24</v>
      </c>
      <c r="E5" s="1" t="s">
        <v>25</v>
      </c>
      <c r="F5" s="1">
        <v>140.0</v>
      </c>
      <c r="G5" s="1">
        <v>50.0</v>
      </c>
      <c r="H5" s="1">
        <v>0.02</v>
      </c>
      <c r="I5" s="1">
        <v>395.0</v>
      </c>
      <c r="J5" s="1">
        <v>112.0</v>
      </c>
      <c r="K5" s="1">
        <v>3.2</v>
      </c>
      <c r="L5" s="1">
        <v>450.0</v>
      </c>
      <c r="M5" s="1">
        <v>12.0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>
        <v>210.0</v>
      </c>
      <c r="G6" s="1">
        <v>15.0</v>
      </c>
      <c r="H6" s="1">
        <v>0.0</v>
      </c>
      <c r="I6" s="1">
        <v>650.0</v>
      </c>
      <c r="J6" s="1">
        <v>320.0</v>
      </c>
      <c r="K6" s="1">
        <v>1.5</v>
      </c>
      <c r="L6" s="1">
        <v>725.0</v>
      </c>
      <c r="M6" s="1">
        <v>4.0</v>
      </c>
    </row>
    <row r="7">
      <c r="A7" s="1" t="s">
        <v>33</v>
      </c>
      <c r="B7" s="1" t="s">
        <v>34</v>
      </c>
      <c r="C7" s="1" t="s">
        <v>30</v>
      </c>
      <c r="D7" s="1" t="s">
        <v>31</v>
      </c>
      <c r="E7" s="1" t="s">
        <v>32</v>
      </c>
      <c r="F7" s="1">
        <v>450.0</v>
      </c>
      <c r="G7" s="1">
        <v>45.0</v>
      </c>
      <c r="H7" s="1">
        <v>0.0</v>
      </c>
      <c r="I7" s="1">
        <v>1250.0</v>
      </c>
      <c r="J7" s="1">
        <v>185.0</v>
      </c>
      <c r="K7" s="1">
        <v>2.4</v>
      </c>
      <c r="L7" s="1">
        <v>1400.0</v>
      </c>
      <c r="M7" s="1">
        <v>6.0</v>
      </c>
    </row>
    <row r="8">
      <c r="A8" s="1" t="s">
        <v>35</v>
      </c>
      <c r="B8" s="1" t="s">
        <v>36</v>
      </c>
      <c r="C8" s="1" t="s">
        <v>15</v>
      </c>
      <c r="D8" s="1" t="s">
        <v>37</v>
      </c>
      <c r="E8" s="1" t="s">
        <v>38</v>
      </c>
      <c r="F8" s="1">
        <v>45.0</v>
      </c>
      <c r="G8" s="1">
        <v>12.0</v>
      </c>
      <c r="H8" s="1">
        <v>0.0</v>
      </c>
      <c r="I8" s="1">
        <v>145.0</v>
      </c>
      <c r="J8" s="1">
        <v>560.0</v>
      </c>
      <c r="K8" s="1">
        <v>5.1</v>
      </c>
      <c r="L8" s="1">
        <v>165.0</v>
      </c>
      <c r="M8" s="1">
        <v>3.0</v>
      </c>
    </row>
    <row r="9">
      <c r="A9" s="1" t="s">
        <v>39</v>
      </c>
      <c r="B9" s="1" t="s">
        <v>40</v>
      </c>
      <c r="C9" s="1" t="s">
        <v>15</v>
      </c>
      <c r="D9" s="1" t="s">
        <v>37</v>
      </c>
      <c r="E9" s="1" t="s">
        <v>38</v>
      </c>
      <c r="F9" s="1">
        <v>55.0</v>
      </c>
      <c r="G9" s="1">
        <v>15.0</v>
      </c>
      <c r="H9" s="1">
        <v>0.0</v>
      </c>
      <c r="I9" s="1">
        <v>175.0</v>
      </c>
      <c r="J9" s="1">
        <v>240.0</v>
      </c>
      <c r="K9" s="1">
        <v>4.8</v>
      </c>
      <c r="L9" s="1">
        <v>195.0</v>
      </c>
      <c r="M9" s="1">
        <v>3.0</v>
      </c>
    </row>
    <row r="10">
      <c r="A10" s="1" t="s">
        <v>41</v>
      </c>
      <c r="B10" s="1" t="s">
        <v>42</v>
      </c>
      <c r="C10" s="1" t="s">
        <v>20</v>
      </c>
      <c r="D10" s="1" t="s">
        <v>43</v>
      </c>
      <c r="E10" s="1" t="s">
        <v>44</v>
      </c>
      <c r="F10" s="1">
        <v>280.0</v>
      </c>
      <c r="G10" s="1">
        <v>85.0</v>
      </c>
      <c r="H10" s="1">
        <v>0.0</v>
      </c>
      <c r="I10" s="1">
        <v>850.0</v>
      </c>
      <c r="J10" s="1">
        <v>45.0</v>
      </c>
      <c r="K10" s="1">
        <v>6.5</v>
      </c>
      <c r="L10" s="1">
        <v>1100.0</v>
      </c>
      <c r="M10" s="1">
        <v>8.0</v>
      </c>
    </row>
    <row r="11">
      <c r="A11" s="1" t="s">
        <v>45</v>
      </c>
      <c r="B11" s="1" t="s">
        <v>46</v>
      </c>
      <c r="C11" s="1" t="s">
        <v>20</v>
      </c>
      <c r="D11" s="1" t="s">
        <v>43</v>
      </c>
      <c r="E11" s="1" t="s">
        <v>44</v>
      </c>
      <c r="F11" s="1">
        <v>120.0</v>
      </c>
      <c r="G11" s="1">
        <v>40.0</v>
      </c>
      <c r="H11" s="1">
        <v>0.0</v>
      </c>
      <c r="I11" s="1">
        <v>395.0</v>
      </c>
      <c r="J11" s="1">
        <v>72.0</v>
      </c>
      <c r="K11" s="1">
        <v>5.2</v>
      </c>
      <c r="L11" s="1">
        <v>450.0</v>
      </c>
      <c r="M11" s="1">
        <v>8.0</v>
      </c>
    </row>
    <row r="12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51</v>
      </c>
      <c r="F12" s="1">
        <v>160.0</v>
      </c>
      <c r="G12" s="1">
        <v>95.0</v>
      </c>
      <c r="H12" s="1">
        <v>0.04</v>
      </c>
      <c r="I12" s="1">
        <v>695.0</v>
      </c>
      <c r="J12" s="1">
        <v>55.0</v>
      </c>
      <c r="K12" s="1">
        <v>9.5</v>
      </c>
      <c r="L12" s="1">
        <v>750.0</v>
      </c>
      <c r="M12" s="1">
        <v>18.0</v>
      </c>
    </row>
    <row r="13">
      <c r="A13" s="1" t="s">
        <v>52</v>
      </c>
      <c r="B13" s="1" t="s">
        <v>53</v>
      </c>
      <c r="C13" s="1" t="s">
        <v>49</v>
      </c>
      <c r="D13" s="1" t="s">
        <v>50</v>
      </c>
      <c r="E13" s="1" t="s">
        <v>51</v>
      </c>
      <c r="F13" s="1">
        <v>65.0</v>
      </c>
      <c r="G13" s="1">
        <v>35.0</v>
      </c>
      <c r="H13" s="1">
        <v>0.04</v>
      </c>
      <c r="I13" s="1">
        <v>245.0</v>
      </c>
      <c r="J13" s="1">
        <v>130.0</v>
      </c>
      <c r="K13" s="1">
        <v>8.2</v>
      </c>
      <c r="L13" s="1">
        <v>275.0</v>
      </c>
      <c r="M13" s="1">
        <v>18.0</v>
      </c>
    </row>
    <row r="14">
      <c r="A14" s="1" t="s">
        <v>54</v>
      </c>
      <c r="B14" s="1" t="s">
        <v>55</v>
      </c>
      <c r="C14" s="1" t="s">
        <v>20</v>
      </c>
      <c r="D14" s="1" t="s">
        <v>56</v>
      </c>
      <c r="E14" s="1" t="s">
        <v>25</v>
      </c>
      <c r="F14" s="1">
        <v>210.0</v>
      </c>
      <c r="G14" s="1">
        <v>85.0</v>
      </c>
      <c r="H14" s="1">
        <v>0.02</v>
      </c>
      <c r="I14" s="1">
        <v>695.0</v>
      </c>
      <c r="J14" s="1">
        <v>42.0</v>
      </c>
      <c r="K14" s="1">
        <v>3.1</v>
      </c>
      <c r="L14" s="1">
        <v>850.0</v>
      </c>
      <c r="M14" s="1">
        <v>16.0</v>
      </c>
    </row>
    <row r="1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25</v>
      </c>
      <c r="F15" s="1">
        <v>28.0</v>
      </c>
      <c r="G15" s="1">
        <v>12.0</v>
      </c>
      <c r="H15" s="1">
        <v>0.02</v>
      </c>
      <c r="I15" s="1">
        <v>95.0</v>
      </c>
      <c r="J15" s="1">
        <v>215.0</v>
      </c>
      <c r="K15" s="1">
        <v>1.2</v>
      </c>
      <c r="L15" s="1">
        <v>110.0</v>
      </c>
      <c r="M15" s="1">
        <v>12.0</v>
      </c>
    </row>
    <row r="16">
      <c r="A16" s="1" t="s">
        <v>61</v>
      </c>
      <c r="B16" s="1" t="s">
        <v>62</v>
      </c>
      <c r="C16" s="1" t="s">
        <v>49</v>
      </c>
      <c r="D16" s="1" t="s">
        <v>37</v>
      </c>
      <c r="E16" s="1" t="s">
        <v>38</v>
      </c>
      <c r="F16" s="1">
        <v>290.0</v>
      </c>
      <c r="G16" s="1">
        <v>55.0</v>
      </c>
      <c r="H16" s="1">
        <v>0.0</v>
      </c>
      <c r="I16" s="1">
        <v>850.0</v>
      </c>
      <c r="J16" s="1">
        <v>38.0</v>
      </c>
      <c r="K16" s="1">
        <v>4.2</v>
      </c>
      <c r="L16" s="1">
        <v>950.0</v>
      </c>
      <c r="M16" s="1">
        <v>6.0</v>
      </c>
    </row>
    <row r="17">
      <c r="A17" s="1" t="s">
        <v>63</v>
      </c>
      <c r="B17" s="1" t="s">
        <v>64</v>
      </c>
      <c r="C17" s="1" t="s">
        <v>23</v>
      </c>
      <c r="D17" s="1" t="s">
        <v>65</v>
      </c>
      <c r="E17" s="1" t="s">
        <v>17</v>
      </c>
      <c r="F17" s="1">
        <v>95.0</v>
      </c>
      <c r="G17" s="1">
        <v>45.0</v>
      </c>
      <c r="H17" s="1">
        <v>0.04</v>
      </c>
      <c r="I17" s="1">
        <v>295.0</v>
      </c>
      <c r="J17" s="1">
        <v>110.0</v>
      </c>
      <c r="K17" s="1">
        <v>2.5</v>
      </c>
      <c r="L17" s="1">
        <v>325.0</v>
      </c>
      <c r="M17" s="1">
        <v>14.0</v>
      </c>
    </row>
    <row r="18">
      <c r="A18" s="1" t="s">
        <v>66</v>
      </c>
      <c r="B18" s="1" t="s">
        <v>67</v>
      </c>
      <c r="C18" s="1" t="s">
        <v>15</v>
      </c>
      <c r="D18" s="1" t="s">
        <v>68</v>
      </c>
      <c r="E18" s="1" t="s">
        <v>32</v>
      </c>
      <c r="F18" s="1">
        <v>380.0</v>
      </c>
      <c r="G18" s="1">
        <v>25.0</v>
      </c>
      <c r="H18" s="1">
        <v>0.0</v>
      </c>
      <c r="I18" s="1">
        <v>1100.0</v>
      </c>
      <c r="J18" s="1">
        <v>24.0</v>
      </c>
      <c r="K18" s="1">
        <v>0.8</v>
      </c>
      <c r="L18" s="1">
        <v>1250.0</v>
      </c>
      <c r="M18" s="1">
        <v>4.0</v>
      </c>
    </row>
    <row r="19">
      <c r="A19" s="1" t="s">
        <v>69</v>
      </c>
      <c r="B19" s="1" t="s">
        <v>70</v>
      </c>
      <c r="C19" s="1" t="s">
        <v>71</v>
      </c>
      <c r="D19" s="1" t="s">
        <v>72</v>
      </c>
      <c r="E19" s="1" t="s">
        <v>73</v>
      </c>
      <c r="F19" s="1">
        <v>32.0</v>
      </c>
      <c r="G19" s="1">
        <v>18.0</v>
      </c>
      <c r="H19" s="1">
        <v>0.04</v>
      </c>
      <c r="I19" s="1">
        <v>125.0</v>
      </c>
      <c r="J19" s="1">
        <v>180.0</v>
      </c>
      <c r="K19" s="1">
        <v>7.2</v>
      </c>
      <c r="L19" s="1">
        <v>145.0</v>
      </c>
      <c r="M19" s="1">
        <v>10.0</v>
      </c>
    </row>
    <row r="20">
      <c r="A20" s="1" t="s">
        <v>74</v>
      </c>
      <c r="B20" s="1" t="s">
        <v>75</v>
      </c>
      <c r="C20" s="1" t="s">
        <v>30</v>
      </c>
      <c r="D20" s="1" t="s">
        <v>76</v>
      </c>
      <c r="E20" s="1" t="s">
        <v>77</v>
      </c>
      <c r="F20" s="1">
        <v>650.0</v>
      </c>
      <c r="G20" s="1">
        <v>95.0</v>
      </c>
      <c r="H20" s="1">
        <v>0.0</v>
      </c>
      <c r="I20" s="1">
        <v>1950.0</v>
      </c>
      <c r="J20" s="1">
        <v>15.0</v>
      </c>
      <c r="K20" s="1">
        <v>3.5</v>
      </c>
      <c r="L20" s="1">
        <v>2200.0</v>
      </c>
      <c r="M20" s="1">
        <v>8.0</v>
      </c>
    </row>
    <row r="21">
      <c r="A21" s="1" t="s">
        <v>78</v>
      </c>
      <c r="B21" s="1" t="s">
        <v>79</v>
      </c>
      <c r="C21" s="1" t="s">
        <v>80</v>
      </c>
      <c r="D21" s="1" t="s">
        <v>81</v>
      </c>
      <c r="E21" s="1" t="s">
        <v>25</v>
      </c>
      <c r="F21" s="1">
        <v>65.0</v>
      </c>
      <c r="G21" s="1">
        <v>28.0</v>
      </c>
      <c r="H21" s="1">
        <v>0.02</v>
      </c>
      <c r="I21" s="1">
        <v>195.0</v>
      </c>
      <c r="J21" s="1">
        <v>310.0</v>
      </c>
      <c r="K21" s="1">
        <v>4.1</v>
      </c>
      <c r="L21" s="1">
        <v>210.0</v>
      </c>
      <c r="M21" s="1">
        <v>12.0</v>
      </c>
    </row>
    <row r="22">
      <c r="A22" s="1" t="s">
        <v>82</v>
      </c>
      <c r="B22" s="1" t="s">
        <v>83</v>
      </c>
      <c r="C22" s="1" t="s">
        <v>15</v>
      </c>
      <c r="D22" s="1" t="s">
        <v>84</v>
      </c>
      <c r="E22" s="1" t="s">
        <v>73</v>
      </c>
      <c r="F22" s="1">
        <v>120.0</v>
      </c>
      <c r="G22" s="1">
        <v>65.0</v>
      </c>
      <c r="H22" s="1">
        <v>0.04</v>
      </c>
      <c r="I22" s="1">
        <v>395.0</v>
      </c>
      <c r="J22" s="1">
        <v>55.0</v>
      </c>
      <c r="K22" s="1">
        <v>8.1</v>
      </c>
      <c r="L22" s="1">
        <v>450.0</v>
      </c>
      <c r="M22" s="1">
        <v>14.0</v>
      </c>
    </row>
    <row r="23">
      <c r="A23" s="1" t="s">
        <v>85</v>
      </c>
      <c r="B23" s="1" t="s">
        <v>86</v>
      </c>
      <c r="C23" s="1" t="s">
        <v>59</v>
      </c>
      <c r="D23" s="1" t="s">
        <v>87</v>
      </c>
      <c r="E23" s="1" t="s">
        <v>25</v>
      </c>
      <c r="F23" s="1">
        <v>18.0</v>
      </c>
      <c r="G23" s="1">
        <v>8.0</v>
      </c>
      <c r="H23" s="1">
        <v>0.02</v>
      </c>
      <c r="I23" s="1">
        <v>75.0</v>
      </c>
      <c r="J23" s="1">
        <v>145.0</v>
      </c>
      <c r="K23" s="1">
        <v>2.3</v>
      </c>
      <c r="L23" s="1">
        <v>85.0</v>
      </c>
      <c r="M23" s="1">
        <v>10.0</v>
      </c>
    </row>
    <row r="24">
      <c r="A24" s="1" t="s">
        <v>88</v>
      </c>
      <c r="B24" s="1" t="s">
        <v>89</v>
      </c>
      <c r="C24" s="1" t="s">
        <v>23</v>
      </c>
      <c r="D24" s="1" t="s">
        <v>16</v>
      </c>
      <c r="E24" s="1" t="s">
        <v>32</v>
      </c>
      <c r="F24" s="1">
        <v>45.0</v>
      </c>
      <c r="G24" s="1">
        <v>10.0</v>
      </c>
      <c r="H24" s="1">
        <v>0.0</v>
      </c>
      <c r="I24" s="1">
        <v>145.0</v>
      </c>
      <c r="J24" s="1">
        <v>420.0</v>
      </c>
      <c r="K24" s="1">
        <v>0.5</v>
      </c>
      <c r="L24" s="1">
        <v>165.0</v>
      </c>
      <c r="M24" s="1">
        <v>2.0</v>
      </c>
    </row>
    <row r="25">
      <c r="A25" s="1" t="s">
        <v>90</v>
      </c>
      <c r="B25" s="1" t="s">
        <v>91</v>
      </c>
      <c r="C25" s="1" t="s">
        <v>30</v>
      </c>
      <c r="D25" s="1" t="s">
        <v>92</v>
      </c>
      <c r="E25" s="1" t="s">
        <v>38</v>
      </c>
      <c r="F25" s="1">
        <v>320.0</v>
      </c>
      <c r="G25" s="1">
        <v>65.0</v>
      </c>
      <c r="H25" s="1">
        <v>0.0</v>
      </c>
      <c r="I25" s="1">
        <v>950.0</v>
      </c>
      <c r="J25" s="1">
        <v>22.0</v>
      </c>
      <c r="K25" s="1">
        <v>2.8</v>
      </c>
      <c r="L25" s="1">
        <v>1050.0</v>
      </c>
      <c r="M25" s="1">
        <v>6.0</v>
      </c>
    </row>
    <row r="26">
      <c r="A26" s="1" t="s">
        <v>93</v>
      </c>
      <c r="B26" s="1" t="s">
        <v>94</v>
      </c>
      <c r="C26" s="1" t="s">
        <v>49</v>
      </c>
      <c r="D26" s="1" t="s">
        <v>31</v>
      </c>
      <c r="E26" s="1" t="s">
        <v>32</v>
      </c>
      <c r="F26" s="1">
        <v>110.0</v>
      </c>
      <c r="G26" s="1">
        <v>15.0</v>
      </c>
      <c r="H26" s="1">
        <v>0.0</v>
      </c>
      <c r="I26" s="1">
        <v>325.0</v>
      </c>
      <c r="J26" s="1">
        <v>190.0</v>
      </c>
      <c r="K26" s="1">
        <v>1.1</v>
      </c>
      <c r="L26" s="1">
        <v>375.0</v>
      </c>
      <c r="M26" s="1">
        <v>3.0</v>
      </c>
    </row>
    <row r="27">
      <c r="A27" s="1" t="s">
        <v>95</v>
      </c>
      <c r="B27" s="1" t="s">
        <v>96</v>
      </c>
      <c r="C27" s="1" t="s">
        <v>71</v>
      </c>
      <c r="D27" s="1" t="s">
        <v>97</v>
      </c>
      <c r="E27" s="1" t="s">
        <v>73</v>
      </c>
      <c r="F27" s="1">
        <v>85.0</v>
      </c>
      <c r="G27" s="1">
        <v>35.0</v>
      </c>
      <c r="H27" s="1">
        <v>0.04</v>
      </c>
      <c r="I27" s="1">
        <v>295.0</v>
      </c>
      <c r="J27" s="1">
        <v>85.0</v>
      </c>
      <c r="K27" s="1">
        <v>1.5</v>
      </c>
      <c r="L27" s="1">
        <v>350.0</v>
      </c>
      <c r="M27" s="1">
        <v>12.0</v>
      </c>
    </row>
    <row r="28">
      <c r="A28" s="1" t="s">
        <v>98</v>
      </c>
      <c r="B28" s="1" t="s">
        <v>99</v>
      </c>
      <c r="C28" s="1" t="s">
        <v>15</v>
      </c>
      <c r="D28" s="1" t="s">
        <v>100</v>
      </c>
      <c r="E28" s="1" t="s">
        <v>25</v>
      </c>
      <c r="F28" s="1">
        <v>55.0</v>
      </c>
      <c r="G28" s="1">
        <v>22.0</v>
      </c>
      <c r="H28" s="1">
        <v>0.02</v>
      </c>
      <c r="I28" s="1">
        <v>185.0</v>
      </c>
      <c r="J28" s="1">
        <v>130.0</v>
      </c>
      <c r="K28" s="1">
        <v>5.6</v>
      </c>
      <c r="L28" s="1">
        <v>225.0</v>
      </c>
      <c r="M28" s="1">
        <v>10.0</v>
      </c>
    </row>
    <row r="29">
      <c r="A29" s="1" t="s">
        <v>101</v>
      </c>
      <c r="B29" s="1" t="s">
        <v>102</v>
      </c>
      <c r="C29" s="1" t="s">
        <v>80</v>
      </c>
      <c r="D29" s="1" t="s">
        <v>103</v>
      </c>
      <c r="E29" s="1" t="s">
        <v>25</v>
      </c>
      <c r="F29" s="1">
        <v>140.0</v>
      </c>
      <c r="G29" s="1">
        <v>55.0</v>
      </c>
      <c r="H29" s="1">
        <v>0.02</v>
      </c>
      <c r="I29" s="1">
        <v>450.0</v>
      </c>
      <c r="J29" s="1">
        <v>95.0</v>
      </c>
      <c r="K29" s="1">
        <v>3.4</v>
      </c>
      <c r="L29" s="1">
        <v>495.0</v>
      </c>
      <c r="M29" s="1">
        <v>12.0</v>
      </c>
    </row>
    <row r="30">
      <c r="A30" s="1" t="s">
        <v>104</v>
      </c>
      <c r="B30" s="1" t="s">
        <v>105</v>
      </c>
      <c r="C30" s="1" t="s">
        <v>30</v>
      </c>
      <c r="D30" s="1" t="s">
        <v>106</v>
      </c>
      <c r="E30" s="1" t="s">
        <v>32</v>
      </c>
      <c r="F30" s="1">
        <v>850.0</v>
      </c>
      <c r="G30" s="1">
        <v>65.0</v>
      </c>
      <c r="H30" s="1">
        <v>0.0</v>
      </c>
      <c r="I30" s="1">
        <v>2800.0</v>
      </c>
      <c r="J30" s="1">
        <v>12.0</v>
      </c>
      <c r="K30" s="1">
        <v>1.2</v>
      </c>
      <c r="L30" s="1">
        <v>3200.0</v>
      </c>
      <c r="M30" s="1">
        <v>8.0</v>
      </c>
    </row>
    <row r="31">
      <c r="A31" s="1" t="s">
        <v>107</v>
      </c>
      <c r="B31" s="1" t="s">
        <v>108</v>
      </c>
      <c r="C31" s="1" t="s">
        <v>15</v>
      </c>
      <c r="D31" s="1" t="s">
        <v>109</v>
      </c>
      <c r="E31" s="1" t="s">
        <v>17</v>
      </c>
      <c r="F31" s="1">
        <v>52.0</v>
      </c>
      <c r="G31" s="1">
        <v>18.0</v>
      </c>
      <c r="H31" s="1">
        <v>0.04</v>
      </c>
      <c r="I31" s="1">
        <v>175.0</v>
      </c>
      <c r="J31" s="1">
        <v>480.0</v>
      </c>
      <c r="K31" s="1">
        <v>2.1</v>
      </c>
      <c r="L31" s="1">
        <v>195.0</v>
      </c>
      <c r="M31" s="1">
        <v>16.0</v>
      </c>
    </row>
    <row r="32">
      <c r="A32" s="1" t="s">
        <v>110</v>
      </c>
      <c r="B32" s="1" t="s">
        <v>111</v>
      </c>
      <c r="C32" s="1" t="s">
        <v>59</v>
      </c>
      <c r="D32" s="1" t="s">
        <v>112</v>
      </c>
      <c r="E32" s="1" t="s">
        <v>25</v>
      </c>
      <c r="F32" s="1">
        <v>42.0</v>
      </c>
      <c r="G32" s="1">
        <v>15.0</v>
      </c>
      <c r="H32" s="1">
        <v>0.02</v>
      </c>
      <c r="I32" s="1">
        <v>145.0</v>
      </c>
      <c r="J32" s="1">
        <v>88.0</v>
      </c>
      <c r="K32" s="1">
        <v>1.9</v>
      </c>
      <c r="L32" s="1">
        <v>165.0</v>
      </c>
      <c r="M32" s="1">
        <v>12.0</v>
      </c>
    </row>
    <row r="33">
      <c r="A33" s="1" t="s">
        <v>113</v>
      </c>
      <c r="B33" s="1" t="s">
        <v>114</v>
      </c>
      <c r="C33" s="1" t="s">
        <v>49</v>
      </c>
      <c r="D33" s="1" t="s">
        <v>115</v>
      </c>
      <c r="E33" s="1" t="s">
        <v>17</v>
      </c>
      <c r="F33" s="1">
        <v>110.0</v>
      </c>
      <c r="G33" s="1">
        <v>45.0</v>
      </c>
      <c r="H33" s="1">
        <v>0.04</v>
      </c>
      <c r="I33" s="1">
        <v>395.0</v>
      </c>
      <c r="J33" s="1">
        <v>62.0</v>
      </c>
      <c r="K33" s="1">
        <v>2.7</v>
      </c>
      <c r="L33" s="1">
        <v>450.0</v>
      </c>
      <c r="M33" s="1">
        <v>14.0</v>
      </c>
    </row>
    <row r="34">
      <c r="A34" s="1" t="s">
        <v>116</v>
      </c>
      <c r="B34" s="1" t="s">
        <v>117</v>
      </c>
      <c r="C34" s="1" t="s">
        <v>23</v>
      </c>
      <c r="D34" s="1" t="s">
        <v>118</v>
      </c>
      <c r="E34" s="1" t="s">
        <v>73</v>
      </c>
      <c r="F34" s="1">
        <v>210.0</v>
      </c>
      <c r="G34" s="1">
        <v>75.0</v>
      </c>
      <c r="H34" s="1">
        <v>0.04</v>
      </c>
      <c r="I34" s="1">
        <v>695.0</v>
      </c>
      <c r="J34" s="1">
        <v>34.0</v>
      </c>
      <c r="K34" s="1">
        <v>4.5</v>
      </c>
      <c r="L34" s="1">
        <v>750.0</v>
      </c>
      <c r="M34" s="1">
        <v>16.0</v>
      </c>
    </row>
    <row r="35">
      <c r="A35" s="1" t="s">
        <v>119</v>
      </c>
      <c r="B35" s="1" t="s">
        <v>120</v>
      </c>
      <c r="C35" s="1" t="s">
        <v>71</v>
      </c>
      <c r="D35" s="1" t="s">
        <v>121</v>
      </c>
      <c r="E35" s="1" t="s">
        <v>32</v>
      </c>
      <c r="F35" s="1">
        <v>22.0</v>
      </c>
      <c r="G35" s="1">
        <v>5.0</v>
      </c>
      <c r="H35" s="1">
        <v>0.0</v>
      </c>
      <c r="I35" s="1">
        <v>79.0</v>
      </c>
      <c r="J35" s="1">
        <v>115.0</v>
      </c>
      <c r="K35" s="1">
        <v>1.4</v>
      </c>
      <c r="L35" s="1">
        <v>95.0</v>
      </c>
      <c r="M35" s="1">
        <v>2.0</v>
      </c>
    </row>
    <row r="36">
      <c r="A36" s="1" t="s">
        <v>122</v>
      </c>
      <c r="B36" s="1" t="s">
        <v>123</v>
      </c>
      <c r="C36" s="1" t="s">
        <v>15</v>
      </c>
      <c r="D36" s="1" t="s">
        <v>37</v>
      </c>
      <c r="E36" s="1" t="s">
        <v>38</v>
      </c>
      <c r="F36" s="1">
        <v>85.0</v>
      </c>
      <c r="G36" s="1">
        <v>25.0</v>
      </c>
      <c r="H36" s="1">
        <v>0.0</v>
      </c>
      <c r="I36" s="1">
        <v>245.0</v>
      </c>
      <c r="J36" s="1">
        <v>140.0</v>
      </c>
      <c r="K36" s="1">
        <v>3.9</v>
      </c>
      <c r="L36" s="1">
        <v>275.0</v>
      </c>
      <c r="M36" s="1">
        <v>5.0</v>
      </c>
    </row>
    <row r="37">
      <c r="A37" s="1" t="s">
        <v>124</v>
      </c>
      <c r="B37" s="1" t="s">
        <v>125</v>
      </c>
      <c r="C37" s="1" t="s">
        <v>30</v>
      </c>
      <c r="D37" s="1" t="s">
        <v>31</v>
      </c>
      <c r="E37" s="1" t="s">
        <v>32</v>
      </c>
      <c r="F37" s="1">
        <v>380.0</v>
      </c>
      <c r="G37" s="1">
        <v>45.0</v>
      </c>
      <c r="H37" s="1">
        <v>0.0</v>
      </c>
      <c r="I37" s="1">
        <v>1150.0</v>
      </c>
      <c r="J37" s="1">
        <v>28.0</v>
      </c>
      <c r="K37" s="1">
        <v>1.8</v>
      </c>
      <c r="L37" s="1">
        <v>1300.0</v>
      </c>
      <c r="M37" s="1">
        <v>6.0</v>
      </c>
    </row>
    <row r="38">
      <c r="A38" s="1" t="s">
        <v>126</v>
      </c>
      <c r="B38" s="1" t="s">
        <v>127</v>
      </c>
      <c r="C38" s="1" t="s">
        <v>128</v>
      </c>
      <c r="D38" s="1" t="s">
        <v>129</v>
      </c>
      <c r="E38" s="1" t="s">
        <v>51</v>
      </c>
      <c r="F38" s="1">
        <v>45.0</v>
      </c>
      <c r="G38" s="1">
        <v>22.0</v>
      </c>
      <c r="H38" s="1">
        <v>0.04</v>
      </c>
      <c r="I38" s="1">
        <v>125.0</v>
      </c>
      <c r="J38" s="1">
        <v>250.0</v>
      </c>
      <c r="K38" s="1">
        <v>5.2</v>
      </c>
      <c r="L38" s="1">
        <v>145.0</v>
      </c>
      <c r="M38" s="1">
        <v>18.0</v>
      </c>
    </row>
    <row r="39">
      <c r="A39" s="1" t="s">
        <v>130</v>
      </c>
      <c r="B39" s="1" t="s">
        <v>131</v>
      </c>
      <c r="C39" s="1" t="s">
        <v>59</v>
      </c>
      <c r="D39" s="1" t="s">
        <v>132</v>
      </c>
      <c r="E39" s="1" t="s">
        <v>25</v>
      </c>
      <c r="F39" s="1">
        <v>24.0</v>
      </c>
      <c r="G39" s="1">
        <v>10.0</v>
      </c>
      <c r="H39" s="1">
        <v>0.02</v>
      </c>
      <c r="I39" s="1">
        <v>85.0</v>
      </c>
      <c r="J39" s="1">
        <v>195.0</v>
      </c>
      <c r="K39" s="1">
        <v>1.1</v>
      </c>
      <c r="L39" s="1">
        <v>95.0</v>
      </c>
      <c r="M39" s="1">
        <v>10.0</v>
      </c>
    </row>
    <row r="40">
      <c r="A40" s="1" t="s">
        <v>133</v>
      </c>
      <c r="B40" s="1" t="s">
        <v>134</v>
      </c>
      <c r="C40" s="1" t="s">
        <v>49</v>
      </c>
      <c r="D40" s="1" t="s">
        <v>76</v>
      </c>
      <c r="E40" s="1" t="s">
        <v>32</v>
      </c>
      <c r="F40" s="1">
        <v>120.0</v>
      </c>
      <c r="G40" s="1">
        <v>15.0</v>
      </c>
      <c r="H40" s="1">
        <v>0.0</v>
      </c>
      <c r="I40" s="1">
        <v>395.0</v>
      </c>
      <c r="J40" s="1">
        <v>85.0</v>
      </c>
      <c r="K40" s="1">
        <v>0.9</v>
      </c>
      <c r="L40" s="1">
        <v>450.0</v>
      </c>
      <c r="M40" s="1">
        <v>3.0</v>
      </c>
    </row>
    <row r="41">
      <c r="A41" s="1" t="s">
        <v>135</v>
      </c>
      <c r="B41" s="1" t="s">
        <v>136</v>
      </c>
      <c r="C41" s="1" t="s">
        <v>23</v>
      </c>
      <c r="D41" s="1" t="s">
        <v>137</v>
      </c>
      <c r="E41" s="1" t="s">
        <v>38</v>
      </c>
      <c r="F41" s="1">
        <v>240.0</v>
      </c>
      <c r="G41" s="1">
        <v>85.0</v>
      </c>
      <c r="H41" s="1">
        <v>0.0</v>
      </c>
      <c r="I41" s="1">
        <v>750.0</v>
      </c>
      <c r="J41" s="1">
        <v>18.0</v>
      </c>
      <c r="K41" s="1">
        <v>6.2</v>
      </c>
      <c r="L41" s="1">
        <v>850.0</v>
      </c>
      <c r="M41" s="1">
        <v>8.0</v>
      </c>
    </row>
    <row r="42">
      <c r="A42" s="1" t="s">
        <v>138</v>
      </c>
      <c r="B42" s="1" t="s">
        <v>139</v>
      </c>
      <c r="C42" s="1" t="s">
        <v>71</v>
      </c>
      <c r="D42" s="1" t="s">
        <v>140</v>
      </c>
      <c r="E42" s="1" t="s">
        <v>77</v>
      </c>
      <c r="F42" s="1">
        <v>35.0</v>
      </c>
      <c r="G42" s="1">
        <v>12.0</v>
      </c>
      <c r="H42" s="1">
        <v>0.0</v>
      </c>
      <c r="I42" s="1">
        <v>115.0</v>
      </c>
      <c r="J42" s="1">
        <v>75.0</v>
      </c>
      <c r="K42" s="1">
        <v>8.5</v>
      </c>
      <c r="L42" s="1">
        <v>145.0</v>
      </c>
      <c r="M42" s="1">
        <v>4.0</v>
      </c>
    </row>
    <row r="43">
      <c r="A43" s="1" t="s">
        <v>141</v>
      </c>
      <c r="B43" s="1" t="s">
        <v>142</v>
      </c>
      <c r="C43" s="1" t="s">
        <v>15</v>
      </c>
      <c r="D43" s="1" t="s">
        <v>143</v>
      </c>
      <c r="E43" s="1" t="s">
        <v>25</v>
      </c>
      <c r="F43" s="1">
        <v>110.0</v>
      </c>
      <c r="G43" s="1">
        <v>55.0</v>
      </c>
      <c r="H43" s="1">
        <v>0.02</v>
      </c>
      <c r="I43" s="1">
        <v>345.0</v>
      </c>
      <c r="J43" s="1">
        <v>62.0</v>
      </c>
      <c r="K43" s="1">
        <v>4.4</v>
      </c>
      <c r="L43" s="1">
        <v>395.0</v>
      </c>
      <c r="M43" s="1">
        <v>12.0</v>
      </c>
    </row>
    <row r="44">
      <c r="A44" s="1" t="s">
        <v>144</v>
      </c>
      <c r="B44" s="1" t="s">
        <v>145</v>
      </c>
      <c r="C44" s="1" t="s">
        <v>80</v>
      </c>
      <c r="D44" s="1" t="s">
        <v>146</v>
      </c>
      <c r="E44" s="1" t="s">
        <v>32</v>
      </c>
      <c r="F44" s="1">
        <v>85.0</v>
      </c>
      <c r="G44" s="1">
        <v>15.0</v>
      </c>
      <c r="H44" s="1">
        <v>0.0</v>
      </c>
      <c r="I44" s="1">
        <v>245.0</v>
      </c>
      <c r="J44" s="1">
        <v>45.0</v>
      </c>
      <c r="K44" s="1">
        <v>1.2</v>
      </c>
      <c r="L44" s="1">
        <v>275.0</v>
      </c>
      <c r="M44" s="1">
        <v>3.0</v>
      </c>
    </row>
    <row r="45">
      <c r="A45" s="1" t="s">
        <v>147</v>
      </c>
      <c r="B45" s="1" t="s">
        <v>148</v>
      </c>
      <c r="C45" s="1" t="s">
        <v>30</v>
      </c>
      <c r="D45" s="1" t="s">
        <v>149</v>
      </c>
      <c r="E45" s="1" t="s">
        <v>25</v>
      </c>
      <c r="F45" s="1">
        <v>180.0</v>
      </c>
      <c r="G45" s="1">
        <v>75.0</v>
      </c>
      <c r="H45" s="1">
        <v>0.02</v>
      </c>
      <c r="I45" s="1">
        <v>595.0</v>
      </c>
      <c r="J45" s="1">
        <v>78.0</v>
      </c>
      <c r="K45" s="1">
        <v>5.1</v>
      </c>
      <c r="L45" s="1">
        <v>650.0</v>
      </c>
      <c r="M45" s="1">
        <v>14.0</v>
      </c>
    </row>
    <row r="46">
      <c r="A46" s="1" t="s">
        <v>150</v>
      </c>
      <c r="B46" s="1" t="s">
        <v>151</v>
      </c>
      <c r="C46" s="1" t="s">
        <v>15</v>
      </c>
      <c r="D46" s="1" t="s">
        <v>152</v>
      </c>
      <c r="E46" s="1" t="s">
        <v>25</v>
      </c>
      <c r="F46" s="1">
        <v>65.0</v>
      </c>
      <c r="G46" s="1">
        <v>35.0</v>
      </c>
      <c r="H46" s="1">
        <v>0.02</v>
      </c>
      <c r="I46" s="1">
        <v>195.0</v>
      </c>
      <c r="J46" s="1">
        <v>115.0</v>
      </c>
      <c r="K46" s="1">
        <v>2.3</v>
      </c>
      <c r="L46" s="1">
        <v>225.0</v>
      </c>
      <c r="M46" s="1">
        <v>12.0</v>
      </c>
    </row>
    <row r="47">
      <c r="A47" s="1" t="s">
        <v>153</v>
      </c>
      <c r="B47" s="1" t="s">
        <v>154</v>
      </c>
      <c r="C47" s="1" t="s">
        <v>59</v>
      </c>
      <c r="D47" s="1" t="s">
        <v>155</v>
      </c>
      <c r="E47" s="1" t="s">
        <v>25</v>
      </c>
      <c r="F47" s="1">
        <v>140.0</v>
      </c>
      <c r="G47" s="1">
        <v>45.0</v>
      </c>
      <c r="H47" s="1">
        <v>0.02</v>
      </c>
      <c r="I47" s="1">
        <v>495.0</v>
      </c>
      <c r="J47" s="1">
        <v>32.0</v>
      </c>
      <c r="K47" s="1">
        <v>2.8</v>
      </c>
      <c r="L47" s="1">
        <v>550.0</v>
      </c>
      <c r="M47" s="1">
        <v>12.0</v>
      </c>
    </row>
    <row r="48">
      <c r="A48" s="1" t="s">
        <v>156</v>
      </c>
      <c r="B48" s="1" t="s">
        <v>157</v>
      </c>
      <c r="C48" s="1" t="s">
        <v>49</v>
      </c>
      <c r="D48" s="1" t="s">
        <v>50</v>
      </c>
      <c r="E48" s="1" t="s">
        <v>17</v>
      </c>
      <c r="F48" s="1">
        <v>55.0</v>
      </c>
      <c r="G48" s="1">
        <v>25.0</v>
      </c>
      <c r="H48" s="1">
        <v>0.04</v>
      </c>
      <c r="I48" s="1">
        <v>175.0</v>
      </c>
      <c r="J48" s="1">
        <v>220.0</v>
      </c>
      <c r="K48" s="1">
        <v>7.1</v>
      </c>
      <c r="L48" s="1">
        <v>195.0</v>
      </c>
      <c r="M48" s="1">
        <v>16.0</v>
      </c>
    </row>
    <row r="49">
      <c r="A49" s="1" t="s">
        <v>158</v>
      </c>
      <c r="B49" s="1" t="s">
        <v>159</v>
      </c>
      <c r="C49" s="1" t="s">
        <v>23</v>
      </c>
      <c r="D49" s="1" t="s">
        <v>160</v>
      </c>
      <c r="E49" s="1" t="s">
        <v>32</v>
      </c>
      <c r="F49" s="1">
        <v>320.0</v>
      </c>
      <c r="G49" s="1">
        <v>45.0</v>
      </c>
      <c r="H49" s="1">
        <v>0.0</v>
      </c>
      <c r="I49" s="1">
        <v>950.0</v>
      </c>
      <c r="J49" s="1">
        <v>26.0</v>
      </c>
      <c r="K49" s="1">
        <v>1.4</v>
      </c>
      <c r="L49" s="1">
        <v>1100.0</v>
      </c>
      <c r="M49" s="1">
        <v>6.0</v>
      </c>
    </row>
    <row r="50">
      <c r="A50" s="1" t="s">
        <v>161</v>
      </c>
      <c r="B50" s="1" t="s">
        <v>162</v>
      </c>
      <c r="C50" s="1" t="s">
        <v>71</v>
      </c>
      <c r="D50" s="1" t="s">
        <v>163</v>
      </c>
      <c r="E50" s="1" t="s">
        <v>32</v>
      </c>
      <c r="F50" s="1">
        <v>25.0</v>
      </c>
      <c r="G50" s="1">
        <v>5.0</v>
      </c>
      <c r="H50" s="1">
        <v>0.0</v>
      </c>
      <c r="I50" s="1">
        <v>89.0</v>
      </c>
      <c r="J50" s="1">
        <v>310.0</v>
      </c>
      <c r="K50" s="1">
        <v>0.5</v>
      </c>
      <c r="L50" s="1">
        <v>110.0</v>
      </c>
      <c r="M50" s="1">
        <v>2.0</v>
      </c>
    </row>
    <row r="51">
      <c r="A51" s="1" t="s">
        <v>164</v>
      </c>
      <c r="B51" s="1" t="s">
        <v>165</v>
      </c>
      <c r="C51" s="1" t="s">
        <v>15</v>
      </c>
      <c r="D51" s="1" t="s">
        <v>166</v>
      </c>
      <c r="E51" s="1" t="s">
        <v>73</v>
      </c>
      <c r="F51" s="1">
        <v>160.0</v>
      </c>
      <c r="G51" s="1">
        <v>85.0</v>
      </c>
      <c r="H51" s="1">
        <v>0.04</v>
      </c>
      <c r="I51" s="1">
        <v>550.0</v>
      </c>
      <c r="J51" s="1">
        <v>48.0</v>
      </c>
      <c r="K51" s="1">
        <v>9.2</v>
      </c>
      <c r="L51" s="1">
        <v>650.0</v>
      </c>
      <c r="M51" s="1">
        <v>16.0</v>
      </c>
    </row>
    <row r="52">
      <c r="A52" s="1" t="s">
        <v>167</v>
      </c>
      <c r="B52" s="1" t="s">
        <v>168</v>
      </c>
      <c r="C52" s="1" t="s">
        <v>80</v>
      </c>
      <c r="D52" s="1" t="s">
        <v>169</v>
      </c>
      <c r="E52" s="1" t="s">
        <v>44</v>
      </c>
      <c r="F52" s="1">
        <v>18.0</v>
      </c>
      <c r="G52" s="1">
        <v>5.0</v>
      </c>
      <c r="H52" s="1">
        <v>0.0</v>
      </c>
      <c r="I52" s="1">
        <v>65.0</v>
      </c>
      <c r="J52" s="1">
        <v>210.0</v>
      </c>
      <c r="K52" s="1">
        <v>0.4</v>
      </c>
      <c r="L52" s="1">
        <v>85.0</v>
      </c>
      <c r="M52" s="1">
        <v>4.0</v>
      </c>
    </row>
    <row r="53">
      <c r="A53" s="1" t="s">
        <v>170</v>
      </c>
      <c r="B53" s="1" t="s">
        <v>171</v>
      </c>
      <c r="C53" s="1" t="s">
        <v>30</v>
      </c>
      <c r="D53" s="1" t="s">
        <v>37</v>
      </c>
      <c r="E53" s="1" t="s">
        <v>38</v>
      </c>
      <c r="F53" s="1">
        <v>75.0</v>
      </c>
      <c r="G53" s="1">
        <v>22.0</v>
      </c>
      <c r="H53" s="1">
        <v>0.0</v>
      </c>
      <c r="I53" s="1">
        <v>225.0</v>
      </c>
      <c r="J53" s="1">
        <v>185.0</v>
      </c>
      <c r="K53" s="1">
        <v>3.1</v>
      </c>
      <c r="L53" s="1">
        <v>250.0</v>
      </c>
      <c r="M53" s="1">
        <v>5.0</v>
      </c>
    </row>
    <row r="54">
      <c r="A54" s="1" t="s">
        <v>172</v>
      </c>
      <c r="B54" s="1" t="s">
        <v>173</v>
      </c>
      <c r="C54" s="1" t="s">
        <v>20</v>
      </c>
      <c r="D54" s="1" t="s">
        <v>174</v>
      </c>
      <c r="E54" s="1" t="s">
        <v>32</v>
      </c>
      <c r="F54" s="1">
        <v>145.0</v>
      </c>
      <c r="G54" s="1">
        <v>25.0</v>
      </c>
      <c r="H54" s="1">
        <v>0.0</v>
      </c>
      <c r="I54" s="1">
        <v>450.0</v>
      </c>
      <c r="J54" s="1">
        <v>65.0</v>
      </c>
      <c r="K54" s="1">
        <v>1.5</v>
      </c>
      <c r="L54" s="1">
        <v>495.0</v>
      </c>
      <c r="M54" s="1">
        <v>4.0</v>
      </c>
    </row>
    <row r="55">
      <c r="A55" s="1" t="s">
        <v>175</v>
      </c>
      <c r="B55" s="1" t="s">
        <v>176</v>
      </c>
      <c r="C55" s="1" t="s">
        <v>59</v>
      </c>
      <c r="D55" s="1" t="s">
        <v>177</v>
      </c>
      <c r="E55" s="1" t="s">
        <v>25</v>
      </c>
      <c r="F55" s="1">
        <v>12.0</v>
      </c>
      <c r="G55" s="1">
        <v>5.0</v>
      </c>
      <c r="H55" s="1">
        <v>0.02</v>
      </c>
      <c r="I55" s="1">
        <v>45.0</v>
      </c>
      <c r="J55" s="1">
        <v>550.0</v>
      </c>
      <c r="K55" s="1">
        <v>2.9</v>
      </c>
      <c r="L55" s="1">
        <v>35.0</v>
      </c>
      <c r="M55" s="1">
        <v>10.0</v>
      </c>
    </row>
    <row r="56">
      <c r="A56" s="1" t="s">
        <v>178</v>
      </c>
      <c r="B56" s="1" t="s">
        <v>179</v>
      </c>
      <c r="C56" s="1" t="s">
        <v>49</v>
      </c>
      <c r="D56" s="1" t="s">
        <v>180</v>
      </c>
      <c r="E56" s="1" t="s">
        <v>32</v>
      </c>
      <c r="F56" s="1">
        <v>180.0</v>
      </c>
      <c r="G56" s="1">
        <v>35.0</v>
      </c>
      <c r="H56" s="1">
        <v>0.0</v>
      </c>
      <c r="I56" s="1">
        <v>595.0</v>
      </c>
      <c r="J56" s="1">
        <v>140.0</v>
      </c>
      <c r="K56" s="1">
        <v>4.2</v>
      </c>
      <c r="L56" s="1">
        <v>650.0</v>
      </c>
      <c r="M56" s="1">
        <v>2.0</v>
      </c>
    </row>
    <row r="57">
      <c r="A57" s="1" t="s">
        <v>181</v>
      </c>
      <c r="B57" s="1" t="s">
        <v>182</v>
      </c>
      <c r="C57" s="1" t="s">
        <v>23</v>
      </c>
      <c r="D57" s="1" t="s">
        <v>16</v>
      </c>
      <c r="E57" s="1" t="s">
        <v>17</v>
      </c>
      <c r="F57" s="1">
        <v>185.0</v>
      </c>
      <c r="G57" s="1">
        <v>75.0</v>
      </c>
      <c r="H57" s="1">
        <v>0.04</v>
      </c>
      <c r="I57" s="1">
        <v>650.0</v>
      </c>
      <c r="J57" s="1">
        <v>42.0</v>
      </c>
      <c r="K57" s="1">
        <v>2.8</v>
      </c>
      <c r="L57" s="1">
        <v>725.0</v>
      </c>
      <c r="M57" s="1">
        <v>14.0</v>
      </c>
    </row>
    <row r="58">
      <c r="A58" s="1" t="s">
        <v>183</v>
      </c>
      <c r="B58" s="1" t="s">
        <v>184</v>
      </c>
      <c r="C58" s="1" t="s">
        <v>71</v>
      </c>
      <c r="D58" s="1" t="s">
        <v>185</v>
      </c>
      <c r="E58" s="1" t="s">
        <v>17</v>
      </c>
      <c r="F58" s="1">
        <v>12.0</v>
      </c>
      <c r="G58" s="1">
        <v>8.0</v>
      </c>
      <c r="H58" s="1">
        <v>0.04</v>
      </c>
      <c r="I58" s="1">
        <v>45.0</v>
      </c>
      <c r="J58" s="1">
        <v>620.0</v>
      </c>
      <c r="K58" s="1">
        <v>3.5</v>
      </c>
      <c r="L58" s="1">
        <v>55.0</v>
      </c>
      <c r="M58" s="1">
        <v>14.0</v>
      </c>
    </row>
    <row r="59">
      <c r="A59" s="1" t="s">
        <v>186</v>
      </c>
      <c r="B59" s="1" t="s">
        <v>187</v>
      </c>
      <c r="C59" s="1" t="s">
        <v>15</v>
      </c>
      <c r="D59" s="1" t="s">
        <v>188</v>
      </c>
      <c r="E59" s="1" t="s">
        <v>32</v>
      </c>
      <c r="F59" s="1">
        <v>110.0</v>
      </c>
      <c r="G59" s="1">
        <v>25.0</v>
      </c>
      <c r="H59" s="1">
        <v>0.0</v>
      </c>
      <c r="I59" s="1">
        <v>325.0</v>
      </c>
      <c r="J59" s="1">
        <v>75.0</v>
      </c>
      <c r="K59" s="1">
        <v>1.2</v>
      </c>
      <c r="L59" s="1">
        <v>375.0</v>
      </c>
      <c r="M59" s="1">
        <v>4.0</v>
      </c>
    </row>
    <row r="60">
      <c r="A60" s="1" t="s">
        <v>189</v>
      </c>
      <c r="B60" s="1" t="s">
        <v>190</v>
      </c>
      <c r="C60" s="1" t="s">
        <v>80</v>
      </c>
      <c r="D60" s="1" t="s">
        <v>103</v>
      </c>
      <c r="E60" s="1" t="s">
        <v>25</v>
      </c>
      <c r="F60" s="1">
        <v>15.0</v>
      </c>
      <c r="G60" s="1">
        <v>5.0</v>
      </c>
      <c r="H60" s="1">
        <v>0.02</v>
      </c>
      <c r="I60" s="1">
        <v>49.0</v>
      </c>
      <c r="J60" s="1">
        <v>380.0</v>
      </c>
      <c r="K60" s="1">
        <v>0.8</v>
      </c>
      <c r="L60" s="1">
        <v>59.0</v>
      </c>
      <c r="M60" s="1">
        <v>10.0</v>
      </c>
    </row>
    <row r="61">
      <c r="A61" s="1" t="s">
        <v>191</v>
      </c>
      <c r="B61" s="1" t="s">
        <v>192</v>
      </c>
      <c r="C61" s="1" t="s">
        <v>30</v>
      </c>
      <c r="D61" s="1" t="s">
        <v>193</v>
      </c>
      <c r="E61" s="1" t="s">
        <v>38</v>
      </c>
      <c r="F61" s="1">
        <v>350.0</v>
      </c>
      <c r="G61" s="1">
        <v>85.0</v>
      </c>
      <c r="H61" s="1">
        <v>0.0</v>
      </c>
      <c r="I61" s="1">
        <v>1050.0</v>
      </c>
      <c r="J61" s="1">
        <v>45.0</v>
      </c>
      <c r="K61" s="1">
        <v>3.8</v>
      </c>
      <c r="L61" s="1">
        <v>1200.0</v>
      </c>
      <c r="M61" s="1">
        <v>8.0</v>
      </c>
    </row>
    <row r="62">
      <c r="A62" s="1" t="s">
        <v>194</v>
      </c>
      <c r="B62" s="1" t="s">
        <v>195</v>
      </c>
      <c r="C62" s="1" t="s">
        <v>20</v>
      </c>
      <c r="D62" s="1" t="s">
        <v>31</v>
      </c>
      <c r="E62" s="1" t="s">
        <v>32</v>
      </c>
      <c r="F62" s="1">
        <v>180.0</v>
      </c>
      <c r="G62" s="1">
        <v>25.0</v>
      </c>
      <c r="H62" s="1">
        <v>0.0</v>
      </c>
      <c r="I62" s="1">
        <v>550.0</v>
      </c>
      <c r="J62" s="1">
        <v>110.0</v>
      </c>
      <c r="K62" s="1">
        <v>1.4</v>
      </c>
      <c r="L62" s="1">
        <v>595.0</v>
      </c>
      <c r="M62" s="1">
        <v>4.0</v>
      </c>
    </row>
    <row r="63">
      <c r="A63" s="1" t="s">
        <v>196</v>
      </c>
      <c r="B63" s="1" t="s">
        <v>197</v>
      </c>
      <c r="C63" s="1" t="s">
        <v>59</v>
      </c>
      <c r="D63" s="1" t="s">
        <v>198</v>
      </c>
      <c r="E63" s="1" t="s">
        <v>17</v>
      </c>
      <c r="F63" s="1">
        <v>8.0</v>
      </c>
      <c r="G63" s="1">
        <v>5.0</v>
      </c>
      <c r="H63" s="1">
        <v>0.04</v>
      </c>
      <c r="I63" s="1">
        <v>35.0</v>
      </c>
      <c r="J63" s="1">
        <v>890.0</v>
      </c>
      <c r="K63" s="1">
        <v>6.5</v>
      </c>
      <c r="L63" s="1">
        <v>45.0</v>
      </c>
      <c r="M63" s="1">
        <v>14.0</v>
      </c>
    </row>
    <row r="64">
      <c r="A64" s="1" t="s">
        <v>199</v>
      </c>
      <c r="B64" s="1" t="s">
        <v>200</v>
      </c>
      <c r="C64" s="1" t="s">
        <v>49</v>
      </c>
      <c r="D64" s="1" t="s">
        <v>137</v>
      </c>
      <c r="E64" s="1" t="s">
        <v>32</v>
      </c>
      <c r="F64" s="1">
        <v>220.0</v>
      </c>
      <c r="G64" s="1">
        <v>55.0</v>
      </c>
      <c r="H64" s="1">
        <v>0.0</v>
      </c>
      <c r="I64" s="1">
        <v>695.0</v>
      </c>
      <c r="J64" s="1">
        <v>22.0</v>
      </c>
      <c r="K64" s="1">
        <v>4.8</v>
      </c>
      <c r="L64" s="1">
        <v>750.0</v>
      </c>
      <c r="M64" s="1">
        <v>5.0</v>
      </c>
    </row>
    <row r="65">
      <c r="A65" s="1" t="s">
        <v>201</v>
      </c>
      <c r="B65" s="1" t="s">
        <v>202</v>
      </c>
      <c r="C65" s="1" t="s">
        <v>23</v>
      </c>
      <c r="D65" s="1" t="s">
        <v>103</v>
      </c>
      <c r="E65" s="1" t="s">
        <v>25</v>
      </c>
      <c r="F65" s="1">
        <v>18.0</v>
      </c>
      <c r="G65" s="1">
        <v>10.0</v>
      </c>
      <c r="H65" s="1">
        <v>0.02</v>
      </c>
      <c r="I65" s="1">
        <v>65.0</v>
      </c>
      <c r="J65" s="1">
        <v>410.0</v>
      </c>
      <c r="K65" s="1">
        <v>2.1</v>
      </c>
      <c r="L65" s="1">
        <v>75.0</v>
      </c>
      <c r="M65" s="1">
        <v>12.0</v>
      </c>
    </row>
    <row r="66">
      <c r="A66" s="1" t="s">
        <v>203</v>
      </c>
      <c r="B66" s="1" t="s">
        <v>204</v>
      </c>
      <c r="C66" s="1" t="s">
        <v>71</v>
      </c>
      <c r="D66" s="1" t="s">
        <v>205</v>
      </c>
      <c r="E66" s="1" t="s">
        <v>206</v>
      </c>
      <c r="F66" s="1">
        <v>65.0</v>
      </c>
      <c r="G66" s="1">
        <v>5.0</v>
      </c>
      <c r="H66" s="1">
        <v>0.0</v>
      </c>
      <c r="I66" s="1">
        <v>195.0</v>
      </c>
      <c r="J66" s="1">
        <v>145.0</v>
      </c>
      <c r="K66" s="1">
        <v>0.9</v>
      </c>
      <c r="L66" s="1">
        <v>250.0</v>
      </c>
      <c r="M66" s="1">
        <v>2.0</v>
      </c>
    </row>
    <row r="67">
      <c r="A67" s="1" t="s">
        <v>207</v>
      </c>
      <c r="B67" s="1" t="s">
        <v>208</v>
      </c>
      <c r="C67" s="1" t="s">
        <v>15</v>
      </c>
      <c r="D67" s="1" t="s">
        <v>209</v>
      </c>
      <c r="E67" s="1" t="s">
        <v>25</v>
      </c>
      <c r="F67" s="1">
        <v>85.0</v>
      </c>
      <c r="G67" s="1">
        <v>45.0</v>
      </c>
      <c r="H67" s="1">
        <v>0.02</v>
      </c>
      <c r="I67" s="1">
        <v>245.0</v>
      </c>
      <c r="J67" s="1">
        <v>82.0</v>
      </c>
      <c r="K67" s="1">
        <v>5.2</v>
      </c>
      <c r="L67" s="1">
        <v>275.0</v>
      </c>
      <c r="M67" s="1">
        <v>12.0</v>
      </c>
    </row>
    <row r="68">
      <c r="A68" s="1" t="s">
        <v>210</v>
      </c>
      <c r="B68" s="1" t="s">
        <v>211</v>
      </c>
      <c r="C68" s="1" t="s">
        <v>80</v>
      </c>
      <c r="D68" s="1" t="s">
        <v>212</v>
      </c>
      <c r="E68" s="1" t="s">
        <v>25</v>
      </c>
      <c r="F68" s="1">
        <v>22.0</v>
      </c>
      <c r="G68" s="1">
        <v>10.0</v>
      </c>
      <c r="H68" s="1">
        <v>0.02</v>
      </c>
      <c r="I68" s="1">
        <v>79.0</v>
      </c>
      <c r="J68" s="1">
        <v>230.0</v>
      </c>
      <c r="K68" s="1">
        <v>1.8</v>
      </c>
      <c r="L68" s="1">
        <v>95.0</v>
      </c>
      <c r="M68" s="1">
        <v>10.0</v>
      </c>
    </row>
    <row r="69">
      <c r="A69" s="1" t="s">
        <v>213</v>
      </c>
      <c r="B69" s="1" t="s">
        <v>214</v>
      </c>
      <c r="C69" s="1" t="s">
        <v>30</v>
      </c>
      <c r="D69" s="1" t="s">
        <v>37</v>
      </c>
      <c r="E69" s="1" t="s">
        <v>38</v>
      </c>
      <c r="F69" s="1">
        <v>720.0</v>
      </c>
      <c r="G69" s="1">
        <v>110.0</v>
      </c>
      <c r="H69" s="1">
        <v>0.0</v>
      </c>
      <c r="I69" s="1">
        <v>2250.0</v>
      </c>
      <c r="J69" s="1">
        <v>12.0</v>
      </c>
      <c r="K69" s="1">
        <v>3.4</v>
      </c>
      <c r="L69" s="1">
        <v>2500.0</v>
      </c>
      <c r="M69" s="1">
        <v>10.0</v>
      </c>
    </row>
    <row r="70">
      <c r="A70" s="1" t="s">
        <v>215</v>
      </c>
      <c r="B70" s="1" t="s">
        <v>216</v>
      </c>
      <c r="C70" s="1" t="s">
        <v>20</v>
      </c>
      <c r="D70" s="1" t="s">
        <v>217</v>
      </c>
      <c r="E70" s="1" t="s">
        <v>32</v>
      </c>
      <c r="F70" s="1">
        <v>210.0</v>
      </c>
      <c r="G70" s="1">
        <v>35.0</v>
      </c>
      <c r="H70" s="1">
        <v>0.0</v>
      </c>
      <c r="I70" s="1">
        <v>650.0</v>
      </c>
      <c r="J70" s="1">
        <v>28.0</v>
      </c>
      <c r="K70" s="1">
        <v>1.2</v>
      </c>
      <c r="L70" s="1">
        <v>750.0</v>
      </c>
      <c r="M70" s="1">
        <v>6.0</v>
      </c>
    </row>
    <row r="71">
      <c r="A71" s="1" t="s">
        <v>218</v>
      </c>
      <c r="B71" s="1" t="s">
        <v>219</v>
      </c>
      <c r="C71" s="1" t="s">
        <v>59</v>
      </c>
      <c r="D71" s="1" t="s">
        <v>220</v>
      </c>
      <c r="E71" s="1" t="s">
        <v>25</v>
      </c>
      <c r="F71" s="1">
        <v>35.0</v>
      </c>
      <c r="G71" s="1">
        <v>12.0</v>
      </c>
      <c r="H71" s="1">
        <v>0.02</v>
      </c>
      <c r="I71" s="1">
        <v>125.0</v>
      </c>
      <c r="J71" s="1">
        <v>160.0</v>
      </c>
      <c r="K71" s="1">
        <v>2.4</v>
      </c>
      <c r="L71" s="1">
        <v>145.0</v>
      </c>
      <c r="M71" s="1">
        <v>12.0</v>
      </c>
    </row>
    <row r="72">
      <c r="A72" s="1" t="s">
        <v>221</v>
      </c>
      <c r="B72" s="1" t="s">
        <v>222</v>
      </c>
      <c r="C72" s="1" t="s">
        <v>49</v>
      </c>
      <c r="D72" s="1" t="s">
        <v>223</v>
      </c>
      <c r="E72" s="1" t="s">
        <v>38</v>
      </c>
      <c r="F72" s="1">
        <v>110.0</v>
      </c>
      <c r="G72" s="1">
        <v>45.0</v>
      </c>
      <c r="H72" s="1">
        <v>0.0</v>
      </c>
      <c r="I72" s="1">
        <v>345.0</v>
      </c>
      <c r="J72" s="1">
        <v>55.0</v>
      </c>
      <c r="K72" s="1">
        <v>3.1</v>
      </c>
      <c r="L72" s="1">
        <v>395.0</v>
      </c>
      <c r="M72" s="1">
        <v>7.0</v>
      </c>
    </row>
    <row r="73">
      <c r="A73" s="1" t="s">
        <v>224</v>
      </c>
      <c r="B73" s="1" t="s">
        <v>225</v>
      </c>
      <c r="C73" s="1" t="s">
        <v>20</v>
      </c>
      <c r="D73" s="1" t="s">
        <v>115</v>
      </c>
      <c r="E73" s="1" t="s">
        <v>17</v>
      </c>
      <c r="F73" s="1">
        <v>145.0</v>
      </c>
      <c r="G73" s="1">
        <v>55.0</v>
      </c>
      <c r="H73" s="1">
        <v>0.04</v>
      </c>
      <c r="I73" s="1">
        <v>495.0</v>
      </c>
      <c r="J73" s="1">
        <v>72.0</v>
      </c>
      <c r="K73" s="1">
        <v>2.9</v>
      </c>
      <c r="L73" s="1">
        <v>550.0</v>
      </c>
      <c r="M73" s="1">
        <v>16.0</v>
      </c>
    </row>
    <row r="74">
      <c r="A74" s="1" t="s">
        <v>226</v>
      </c>
      <c r="B74" s="1" t="s">
        <v>227</v>
      </c>
      <c r="C74" s="1" t="s">
        <v>71</v>
      </c>
      <c r="D74" s="1" t="s">
        <v>228</v>
      </c>
      <c r="E74" s="1" t="s">
        <v>73</v>
      </c>
      <c r="F74" s="1">
        <v>15.0</v>
      </c>
      <c r="G74" s="1">
        <v>8.0</v>
      </c>
      <c r="H74" s="1">
        <v>0.04</v>
      </c>
      <c r="I74" s="1">
        <v>55.0</v>
      </c>
      <c r="J74" s="1">
        <v>320.0</v>
      </c>
      <c r="K74" s="1">
        <v>1.1</v>
      </c>
      <c r="L74" s="1">
        <v>65.0</v>
      </c>
      <c r="M74" s="1">
        <v>14.0</v>
      </c>
    </row>
    <row r="75">
      <c r="A75" s="1" t="s">
        <v>229</v>
      </c>
      <c r="B75" s="1" t="s">
        <v>230</v>
      </c>
      <c r="C75" s="1" t="s">
        <v>15</v>
      </c>
      <c r="D75" s="1" t="s">
        <v>231</v>
      </c>
      <c r="E75" s="1" t="s">
        <v>25</v>
      </c>
      <c r="F75" s="1">
        <v>160.0</v>
      </c>
      <c r="G75" s="1">
        <v>95.0</v>
      </c>
      <c r="H75" s="1">
        <v>0.02</v>
      </c>
      <c r="I75" s="1">
        <v>495.0</v>
      </c>
      <c r="J75" s="1">
        <v>34.0</v>
      </c>
      <c r="K75" s="1">
        <v>8.5</v>
      </c>
      <c r="L75" s="1">
        <v>595.0</v>
      </c>
      <c r="M75" s="1">
        <v>14.0</v>
      </c>
    </row>
    <row r="76">
      <c r="A76" s="1" t="s">
        <v>232</v>
      </c>
      <c r="B76" s="1" t="s">
        <v>233</v>
      </c>
      <c r="C76" s="1" t="s">
        <v>80</v>
      </c>
      <c r="D76" s="1" t="s">
        <v>234</v>
      </c>
      <c r="E76" s="1" t="s">
        <v>25</v>
      </c>
      <c r="F76" s="1">
        <v>55.0</v>
      </c>
      <c r="G76" s="1">
        <v>25.0</v>
      </c>
      <c r="H76" s="1">
        <v>0.02</v>
      </c>
      <c r="I76" s="1">
        <v>165.0</v>
      </c>
      <c r="J76" s="1">
        <v>85.0</v>
      </c>
      <c r="K76" s="1">
        <v>2.6</v>
      </c>
      <c r="L76" s="1">
        <v>185.0</v>
      </c>
      <c r="M76" s="1">
        <v>12.0</v>
      </c>
    </row>
    <row r="77">
      <c r="A77" s="1" t="s">
        <v>235</v>
      </c>
      <c r="B77" s="1" t="s">
        <v>236</v>
      </c>
      <c r="C77" s="1" t="s">
        <v>30</v>
      </c>
      <c r="D77" s="1" t="s">
        <v>237</v>
      </c>
      <c r="E77" s="1" t="s">
        <v>32</v>
      </c>
      <c r="F77" s="1">
        <v>550.0</v>
      </c>
      <c r="G77" s="1">
        <v>65.0</v>
      </c>
      <c r="H77" s="1">
        <v>0.0</v>
      </c>
      <c r="I77" s="1">
        <v>1850.0</v>
      </c>
      <c r="J77" s="1">
        <v>8.0</v>
      </c>
      <c r="K77" s="1">
        <v>4.1</v>
      </c>
      <c r="L77" s="1">
        <v>2100.0</v>
      </c>
      <c r="M77" s="1">
        <v>10.0</v>
      </c>
    </row>
    <row r="78">
      <c r="A78" s="1" t="s">
        <v>238</v>
      </c>
      <c r="B78" s="1" t="s">
        <v>239</v>
      </c>
      <c r="C78" s="1" t="s">
        <v>128</v>
      </c>
      <c r="D78" s="1" t="s">
        <v>240</v>
      </c>
      <c r="E78" s="1" t="s">
        <v>25</v>
      </c>
      <c r="F78" s="1">
        <v>42.0</v>
      </c>
      <c r="G78" s="1">
        <v>28.0</v>
      </c>
      <c r="H78" s="1">
        <v>0.02</v>
      </c>
      <c r="I78" s="1">
        <v>135.0</v>
      </c>
      <c r="J78" s="1">
        <v>420.0</v>
      </c>
      <c r="K78" s="1">
        <v>6.2</v>
      </c>
      <c r="L78" s="1">
        <v>155.0</v>
      </c>
      <c r="M78" s="1">
        <v>14.0</v>
      </c>
    </row>
    <row r="79">
      <c r="A79" s="1" t="s">
        <v>241</v>
      </c>
      <c r="B79" s="1" t="s">
        <v>242</v>
      </c>
      <c r="C79" s="1" t="s">
        <v>59</v>
      </c>
      <c r="D79" s="1" t="s">
        <v>112</v>
      </c>
      <c r="E79" s="1" t="s">
        <v>25</v>
      </c>
      <c r="F79" s="1">
        <v>38.0</v>
      </c>
      <c r="G79" s="1">
        <v>15.0</v>
      </c>
      <c r="H79" s="1">
        <v>0.02</v>
      </c>
      <c r="I79" s="1">
        <v>125.0</v>
      </c>
      <c r="J79" s="1">
        <v>145.0</v>
      </c>
      <c r="K79" s="1">
        <v>1.5</v>
      </c>
      <c r="L79" s="1">
        <v>145.0</v>
      </c>
      <c r="M79" s="1">
        <v>12.0</v>
      </c>
    </row>
    <row r="80">
      <c r="A80" s="1" t="s">
        <v>243</v>
      </c>
      <c r="B80" s="1" t="s">
        <v>244</v>
      </c>
      <c r="C80" s="1" t="s">
        <v>49</v>
      </c>
      <c r="D80" s="1" t="s">
        <v>245</v>
      </c>
      <c r="E80" s="1" t="s">
        <v>32</v>
      </c>
      <c r="F80" s="1">
        <v>450.0</v>
      </c>
      <c r="G80" s="1">
        <v>110.0</v>
      </c>
      <c r="H80" s="1">
        <v>0.0</v>
      </c>
      <c r="I80" s="1">
        <v>1450.0</v>
      </c>
      <c r="J80" s="1">
        <v>10.0</v>
      </c>
      <c r="K80" s="1">
        <v>5.5</v>
      </c>
      <c r="L80" s="1">
        <v>1650.0</v>
      </c>
      <c r="M80" s="1">
        <v>8.0</v>
      </c>
    </row>
    <row r="81">
      <c r="A81" s="1" t="s">
        <v>246</v>
      </c>
      <c r="B81" s="1" t="s">
        <v>247</v>
      </c>
      <c r="C81" s="1" t="s">
        <v>23</v>
      </c>
      <c r="D81" s="1" t="s">
        <v>248</v>
      </c>
      <c r="E81" s="1" t="s">
        <v>17</v>
      </c>
      <c r="F81" s="1">
        <v>165.0</v>
      </c>
      <c r="G81" s="1">
        <v>65.0</v>
      </c>
      <c r="H81" s="1">
        <v>0.04</v>
      </c>
      <c r="I81" s="1">
        <v>550.0</v>
      </c>
      <c r="J81" s="1">
        <v>38.0</v>
      </c>
      <c r="K81" s="1">
        <v>2.4</v>
      </c>
      <c r="L81" s="1">
        <v>595.0</v>
      </c>
      <c r="M81" s="1">
        <v>16.0</v>
      </c>
    </row>
    <row r="82">
      <c r="A82" s="1" t="s">
        <v>249</v>
      </c>
      <c r="B82" s="1" t="s">
        <v>250</v>
      </c>
      <c r="C82" s="1" t="s">
        <v>71</v>
      </c>
      <c r="D82" s="1" t="s">
        <v>251</v>
      </c>
      <c r="E82" s="1" t="s">
        <v>32</v>
      </c>
      <c r="F82" s="1">
        <v>6.0</v>
      </c>
      <c r="G82" s="1">
        <v>2.0</v>
      </c>
      <c r="H82" s="1">
        <v>0.0</v>
      </c>
      <c r="I82" s="1">
        <v>25.0</v>
      </c>
      <c r="J82" s="1">
        <v>1200.0</v>
      </c>
      <c r="K82" s="1">
        <v>0.2</v>
      </c>
      <c r="L82" s="1">
        <v>35.0</v>
      </c>
      <c r="M82" s="1">
        <v>1.0</v>
      </c>
    </row>
    <row r="83">
      <c r="A83" s="1" t="s">
        <v>252</v>
      </c>
      <c r="B83" s="1" t="s">
        <v>253</v>
      </c>
      <c r="C83" s="1" t="s">
        <v>15</v>
      </c>
      <c r="D83" s="1" t="s">
        <v>254</v>
      </c>
      <c r="E83" s="1" t="s">
        <v>32</v>
      </c>
      <c r="F83" s="1">
        <v>480.0</v>
      </c>
      <c r="G83" s="1">
        <v>85.0</v>
      </c>
      <c r="H83" s="1">
        <v>0.0</v>
      </c>
      <c r="I83" s="1">
        <v>1550.0</v>
      </c>
      <c r="J83" s="1">
        <v>12.0</v>
      </c>
      <c r="K83" s="1">
        <v>2.1</v>
      </c>
      <c r="L83" s="1">
        <v>1800.0</v>
      </c>
      <c r="M83" s="1">
        <v>12.0</v>
      </c>
    </row>
    <row r="84">
      <c r="A84" s="1" t="s">
        <v>255</v>
      </c>
      <c r="B84" s="1" t="s">
        <v>256</v>
      </c>
      <c r="C84" s="1" t="s">
        <v>80</v>
      </c>
      <c r="D84" s="1" t="s">
        <v>137</v>
      </c>
      <c r="E84" s="1" t="s">
        <v>17</v>
      </c>
      <c r="F84" s="1">
        <v>55.0</v>
      </c>
      <c r="G84" s="1">
        <v>35.0</v>
      </c>
      <c r="H84" s="1">
        <v>0.04</v>
      </c>
      <c r="I84" s="1">
        <v>185.0</v>
      </c>
      <c r="J84" s="1">
        <v>165.0</v>
      </c>
      <c r="K84" s="1">
        <v>3.2</v>
      </c>
      <c r="L84" s="1">
        <v>210.0</v>
      </c>
      <c r="M84" s="1">
        <v>14.0</v>
      </c>
    </row>
    <row r="85">
      <c r="A85" s="1" t="s">
        <v>257</v>
      </c>
      <c r="B85" s="1" t="s">
        <v>258</v>
      </c>
      <c r="C85" s="1" t="s">
        <v>30</v>
      </c>
      <c r="D85" s="1" t="s">
        <v>259</v>
      </c>
      <c r="E85" s="1" t="s">
        <v>25</v>
      </c>
      <c r="F85" s="1">
        <v>280.0</v>
      </c>
      <c r="G85" s="1">
        <v>85.0</v>
      </c>
      <c r="H85" s="1">
        <v>0.02</v>
      </c>
      <c r="I85" s="1">
        <v>850.0</v>
      </c>
      <c r="J85" s="1">
        <v>25.0</v>
      </c>
      <c r="K85" s="1">
        <v>4.8</v>
      </c>
      <c r="L85" s="1">
        <v>950.0</v>
      </c>
      <c r="M85" s="1">
        <v>14.0</v>
      </c>
    </row>
    <row r="86">
      <c r="A86" s="1" t="s">
        <v>260</v>
      </c>
      <c r="B86" s="1" t="s">
        <v>261</v>
      </c>
      <c r="C86" s="1" t="s">
        <v>15</v>
      </c>
      <c r="D86" s="1" t="s">
        <v>169</v>
      </c>
      <c r="E86" s="1" t="s">
        <v>73</v>
      </c>
      <c r="F86" s="1">
        <v>75.0</v>
      </c>
      <c r="G86" s="1">
        <v>25.0</v>
      </c>
      <c r="H86" s="1">
        <v>0.04</v>
      </c>
      <c r="I86" s="1">
        <v>245.0</v>
      </c>
      <c r="J86" s="1">
        <v>95.0</v>
      </c>
      <c r="K86" s="1">
        <v>3.4</v>
      </c>
      <c r="L86" s="1">
        <v>275.0</v>
      </c>
      <c r="M86" s="1">
        <v>12.0</v>
      </c>
    </row>
    <row r="87">
      <c r="A87" s="1" t="s">
        <v>262</v>
      </c>
      <c r="B87" s="1" t="s">
        <v>263</v>
      </c>
      <c r="C87" s="1" t="s">
        <v>59</v>
      </c>
      <c r="D87" s="1" t="s">
        <v>264</v>
      </c>
      <c r="E87" s="1" t="s">
        <v>25</v>
      </c>
      <c r="F87" s="1">
        <v>12.0</v>
      </c>
      <c r="G87" s="1">
        <v>8.0</v>
      </c>
      <c r="H87" s="1">
        <v>0.02</v>
      </c>
      <c r="I87" s="1">
        <v>45.0</v>
      </c>
      <c r="J87" s="1">
        <v>750.0</v>
      </c>
      <c r="K87" s="1">
        <v>4.1</v>
      </c>
      <c r="L87" s="1">
        <v>55.0</v>
      </c>
      <c r="M87" s="1">
        <v>10.0</v>
      </c>
    </row>
    <row r="88">
      <c r="A88" s="1" t="s">
        <v>265</v>
      </c>
      <c r="B88" s="1" t="s">
        <v>266</v>
      </c>
      <c r="C88" s="1" t="s">
        <v>49</v>
      </c>
      <c r="D88" s="1" t="s">
        <v>267</v>
      </c>
      <c r="E88" s="1" t="s">
        <v>32</v>
      </c>
      <c r="F88" s="1">
        <v>140.0</v>
      </c>
      <c r="G88" s="1">
        <v>45.0</v>
      </c>
      <c r="H88" s="1">
        <v>0.0</v>
      </c>
      <c r="I88" s="1">
        <v>495.0</v>
      </c>
      <c r="J88" s="1">
        <v>85.0</v>
      </c>
      <c r="K88" s="1">
        <v>1.8</v>
      </c>
      <c r="L88" s="1">
        <v>550.0</v>
      </c>
      <c r="M88" s="1">
        <v>4.0</v>
      </c>
    </row>
    <row r="89">
      <c r="A89" s="1" t="s">
        <v>268</v>
      </c>
      <c r="B89" s="1" t="s">
        <v>269</v>
      </c>
      <c r="C89" s="1" t="s">
        <v>23</v>
      </c>
      <c r="D89" s="1" t="s">
        <v>270</v>
      </c>
      <c r="E89" s="1" t="s">
        <v>25</v>
      </c>
      <c r="F89" s="1">
        <v>95.0</v>
      </c>
      <c r="G89" s="1">
        <v>45.0</v>
      </c>
      <c r="H89" s="1">
        <v>0.02</v>
      </c>
      <c r="I89" s="1">
        <v>295.0</v>
      </c>
      <c r="J89" s="1">
        <v>115.0</v>
      </c>
      <c r="K89" s="1">
        <v>3.9</v>
      </c>
      <c r="L89" s="1">
        <v>325.0</v>
      </c>
      <c r="M89" s="1">
        <v>12.0</v>
      </c>
    </row>
    <row r="90">
      <c r="A90" s="1" t="s">
        <v>271</v>
      </c>
      <c r="B90" s="1" t="s">
        <v>272</v>
      </c>
      <c r="C90" s="1" t="s">
        <v>71</v>
      </c>
      <c r="D90" s="1" t="s">
        <v>273</v>
      </c>
      <c r="E90" s="1" t="s">
        <v>32</v>
      </c>
      <c r="F90" s="1">
        <v>8.0</v>
      </c>
      <c r="G90" s="1">
        <v>2.0</v>
      </c>
      <c r="H90" s="1">
        <v>0.0</v>
      </c>
      <c r="I90" s="1">
        <v>29.0</v>
      </c>
      <c r="J90" s="1">
        <v>850.0</v>
      </c>
      <c r="K90" s="1">
        <v>0.8</v>
      </c>
      <c r="L90" s="1">
        <v>35.0</v>
      </c>
      <c r="M90" s="1">
        <v>2.0</v>
      </c>
    </row>
    <row r="91">
      <c r="A91" s="1" t="s">
        <v>274</v>
      </c>
      <c r="B91" s="1" t="s">
        <v>275</v>
      </c>
      <c r="C91" s="1" t="s">
        <v>15</v>
      </c>
      <c r="D91" s="1" t="s">
        <v>16</v>
      </c>
      <c r="E91" s="1" t="s">
        <v>38</v>
      </c>
      <c r="F91" s="1">
        <v>320.0</v>
      </c>
      <c r="G91" s="1">
        <v>75.0</v>
      </c>
      <c r="H91" s="1">
        <v>0.0</v>
      </c>
      <c r="I91" s="1">
        <v>950.0</v>
      </c>
      <c r="J91" s="1">
        <v>22.0</v>
      </c>
      <c r="K91" s="1">
        <v>1.5</v>
      </c>
      <c r="L91" s="1">
        <v>1050.0</v>
      </c>
      <c r="M91" s="1">
        <v>9.0</v>
      </c>
    </row>
    <row r="92">
      <c r="A92" s="1" t="s">
        <v>276</v>
      </c>
      <c r="B92" s="1" t="s">
        <v>277</v>
      </c>
      <c r="C92" s="1" t="s">
        <v>80</v>
      </c>
      <c r="D92" s="1" t="s">
        <v>278</v>
      </c>
      <c r="E92" s="1" t="s">
        <v>25</v>
      </c>
      <c r="F92" s="1">
        <v>45.0</v>
      </c>
      <c r="G92" s="1">
        <v>22.0</v>
      </c>
      <c r="H92" s="1">
        <v>0.02</v>
      </c>
      <c r="I92" s="1">
        <v>145.0</v>
      </c>
      <c r="J92" s="1">
        <v>130.0</v>
      </c>
      <c r="K92" s="1">
        <v>2.7</v>
      </c>
      <c r="L92" s="1">
        <v>165.0</v>
      </c>
      <c r="M92" s="1">
        <v>10.0</v>
      </c>
    </row>
    <row r="93">
      <c r="A93" s="1" t="s">
        <v>279</v>
      </c>
      <c r="B93" s="1" t="s">
        <v>280</v>
      </c>
      <c r="C93" s="1" t="s">
        <v>30</v>
      </c>
      <c r="D93" s="1" t="s">
        <v>281</v>
      </c>
      <c r="E93" s="1" t="s">
        <v>282</v>
      </c>
      <c r="F93" s="1">
        <v>120.0</v>
      </c>
      <c r="G93" s="1">
        <v>95.0</v>
      </c>
      <c r="H93" s="1">
        <v>0.04</v>
      </c>
      <c r="I93" s="1">
        <v>450.0</v>
      </c>
      <c r="J93" s="1">
        <v>55.0</v>
      </c>
      <c r="K93" s="1">
        <v>1.9</v>
      </c>
      <c r="L93" s="1">
        <v>495.0</v>
      </c>
      <c r="M93" s="1">
        <v>16.0</v>
      </c>
    </row>
    <row r="94">
      <c r="A94" s="1" t="s">
        <v>283</v>
      </c>
      <c r="B94" s="1" t="s">
        <v>284</v>
      </c>
      <c r="C94" s="1" t="s">
        <v>15</v>
      </c>
      <c r="D94" s="1" t="s">
        <v>285</v>
      </c>
      <c r="E94" s="1" t="s">
        <v>44</v>
      </c>
      <c r="F94" s="1">
        <v>35.0</v>
      </c>
      <c r="G94" s="1">
        <v>15.0</v>
      </c>
      <c r="H94" s="1">
        <v>0.0</v>
      </c>
      <c r="I94" s="1">
        <v>115.0</v>
      </c>
      <c r="J94" s="1">
        <v>620.0</v>
      </c>
      <c r="K94" s="1">
        <v>0.7</v>
      </c>
      <c r="L94" s="1">
        <v>135.0</v>
      </c>
      <c r="M94" s="1">
        <v>4.0</v>
      </c>
    </row>
    <row r="95">
      <c r="A95" s="1" t="s">
        <v>286</v>
      </c>
      <c r="B95" s="1" t="s">
        <v>287</v>
      </c>
      <c r="C95" s="1" t="s">
        <v>59</v>
      </c>
      <c r="D95" s="1" t="s">
        <v>288</v>
      </c>
      <c r="E95" s="1" t="s">
        <v>25</v>
      </c>
      <c r="F95" s="1">
        <v>45.0</v>
      </c>
      <c r="G95" s="1">
        <v>18.0</v>
      </c>
      <c r="H95" s="1">
        <v>0.02</v>
      </c>
      <c r="I95" s="1">
        <v>165.0</v>
      </c>
      <c r="J95" s="1">
        <v>95.0</v>
      </c>
      <c r="K95" s="1">
        <v>5.2</v>
      </c>
      <c r="L95" s="1">
        <v>195.0</v>
      </c>
      <c r="M95" s="1">
        <v>10.0</v>
      </c>
    </row>
    <row r="96">
      <c r="A96" s="1" t="s">
        <v>289</v>
      </c>
      <c r="B96" s="1" t="s">
        <v>290</v>
      </c>
      <c r="C96" s="1" t="s">
        <v>49</v>
      </c>
      <c r="D96" s="1" t="s">
        <v>228</v>
      </c>
      <c r="E96" s="1" t="s">
        <v>25</v>
      </c>
      <c r="F96" s="1">
        <v>210.0</v>
      </c>
      <c r="G96" s="1">
        <v>95.0</v>
      </c>
      <c r="H96" s="1">
        <v>0.02</v>
      </c>
      <c r="I96" s="1">
        <v>750.0</v>
      </c>
      <c r="J96" s="1">
        <v>18.0</v>
      </c>
      <c r="K96" s="1">
        <v>3.8</v>
      </c>
      <c r="L96" s="1">
        <v>850.0</v>
      </c>
      <c r="M96" s="1">
        <v>14.0</v>
      </c>
    </row>
    <row r="97">
      <c r="A97" s="1" t="s">
        <v>291</v>
      </c>
      <c r="B97" s="1" t="s">
        <v>292</v>
      </c>
      <c r="C97" s="1" t="s">
        <v>23</v>
      </c>
      <c r="D97" s="1" t="s">
        <v>115</v>
      </c>
      <c r="E97" s="1" t="s">
        <v>32</v>
      </c>
      <c r="F97" s="1">
        <v>180.0</v>
      </c>
      <c r="G97" s="1">
        <v>35.0</v>
      </c>
      <c r="H97" s="1">
        <v>0.0</v>
      </c>
      <c r="I97" s="1">
        <v>595.0</v>
      </c>
      <c r="J97" s="1">
        <v>42.0</v>
      </c>
      <c r="K97" s="1">
        <v>1.1</v>
      </c>
      <c r="L97" s="1">
        <v>650.0</v>
      </c>
      <c r="M97" s="1">
        <v>6.0</v>
      </c>
    </row>
    <row r="98">
      <c r="A98" s="1" t="s">
        <v>293</v>
      </c>
      <c r="B98" s="1" t="s">
        <v>294</v>
      </c>
      <c r="C98" s="1" t="s">
        <v>71</v>
      </c>
      <c r="D98" s="1" t="s">
        <v>295</v>
      </c>
      <c r="E98" s="1" t="s">
        <v>73</v>
      </c>
      <c r="F98" s="1">
        <v>5.0</v>
      </c>
      <c r="G98" s="1">
        <v>5.0</v>
      </c>
      <c r="H98" s="1">
        <v>0.04</v>
      </c>
      <c r="I98" s="1">
        <v>25.0</v>
      </c>
      <c r="J98" s="1">
        <v>950.0</v>
      </c>
      <c r="K98" s="1">
        <v>1.2</v>
      </c>
      <c r="L98" s="1">
        <v>30.0</v>
      </c>
      <c r="M98" s="1">
        <v>12.0</v>
      </c>
    </row>
    <row r="99">
      <c r="A99" s="1" t="s">
        <v>296</v>
      </c>
      <c r="B99" s="1" t="s">
        <v>297</v>
      </c>
      <c r="C99" s="1" t="s">
        <v>15</v>
      </c>
      <c r="D99" s="1" t="s">
        <v>298</v>
      </c>
      <c r="E99" s="1" t="s">
        <v>17</v>
      </c>
      <c r="F99" s="1">
        <v>145.0</v>
      </c>
      <c r="G99" s="1">
        <v>65.0</v>
      </c>
      <c r="H99" s="1">
        <v>0.04</v>
      </c>
      <c r="I99" s="1">
        <v>495.0</v>
      </c>
      <c r="J99" s="1">
        <v>52.0</v>
      </c>
      <c r="K99" s="1">
        <v>3.3</v>
      </c>
      <c r="L99" s="1">
        <v>550.0</v>
      </c>
      <c r="M99" s="1">
        <v>14.0</v>
      </c>
    </row>
    <row r="100">
      <c r="A100" s="1" t="s">
        <v>299</v>
      </c>
      <c r="B100" s="1" t="s">
        <v>300</v>
      </c>
      <c r="C100" s="1" t="s">
        <v>80</v>
      </c>
      <c r="D100" s="1" t="s">
        <v>146</v>
      </c>
      <c r="E100" s="1" t="s">
        <v>32</v>
      </c>
      <c r="F100" s="1">
        <v>65.0</v>
      </c>
      <c r="G100" s="1">
        <v>15.0</v>
      </c>
      <c r="H100" s="1">
        <v>0.0</v>
      </c>
      <c r="I100" s="1">
        <v>195.0</v>
      </c>
      <c r="J100" s="1">
        <v>88.0</v>
      </c>
      <c r="K100" s="1">
        <v>0.9</v>
      </c>
      <c r="L100" s="1">
        <v>225.0</v>
      </c>
      <c r="M100" s="1">
        <v>3.0</v>
      </c>
    </row>
    <row r="101">
      <c r="A101" s="1" t="s">
        <v>301</v>
      </c>
      <c r="B101" s="1" t="s">
        <v>302</v>
      </c>
      <c r="C101" s="1" t="s">
        <v>30</v>
      </c>
      <c r="D101" s="1" t="s">
        <v>303</v>
      </c>
      <c r="E101" s="1" t="s">
        <v>25</v>
      </c>
      <c r="F101" s="1">
        <v>25.0</v>
      </c>
      <c r="G101" s="1">
        <v>12.0</v>
      </c>
      <c r="H101" s="1">
        <v>0.02</v>
      </c>
      <c r="I101" s="1">
        <v>89.0</v>
      </c>
      <c r="J101" s="1">
        <v>410.0</v>
      </c>
      <c r="K101" s="1">
        <v>2.2</v>
      </c>
      <c r="L101" s="1">
        <v>99.0</v>
      </c>
      <c r="M101" s="1">
        <v>10.0</v>
      </c>
    </row>
  </sheetData>
  <autoFilter ref="$A$1:$M$1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13"/>
    <col customWidth="1" min="5" max="5" width="13.38"/>
    <col customWidth="1" min="6" max="6" width="15.38"/>
    <col customWidth="1" min="7" max="7" width="15.0"/>
    <col customWidth="1" min="9" max="9" width="16.75"/>
    <col customWidth="1" min="11" max="11" width="13.75"/>
    <col customWidth="1" min="12" max="12" width="20.63"/>
    <col customWidth="1" min="13" max="13" width="15.25"/>
    <col customWidth="1" min="14" max="14" width="15.38"/>
    <col customWidth="1" min="15" max="15" width="13.5"/>
    <col customWidth="1" min="20" max="20" width="15.88"/>
    <col customWidth="1" min="22" max="22" width="15.0"/>
    <col customWidth="1" min="23" max="23" width="20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304</v>
      </c>
      <c r="O1" s="3" t="s">
        <v>305</v>
      </c>
      <c r="P1" s="3" t="s">
        <v>306</v>
      </c>
      <c r="Q1" s="2" t="s">
        <v>307</v>
      </c>
      <c r="R1" s="2" t="s">
        <v>308</v>
      </c>
      <c r="S1" s="2" t="s">
        <v>309</v>
      </c>
      <c r="T1" s="2" t="s">
        <v>310</v>
      </c>
    </row>
    <row r="2">
      <c r="A2" s="1" t="s">
        <v>126</v>
      </c>
      <c r="B2" s="1" t="s">
        <v>127</v>
      </c>
      <c r="C2" s="1" t="s">
        <v>128</v>
      </c>
      <c r="D2" s="1" t="s">
        <v>129</v>
      </c>
      <c r="E2" s="1" t="s">
        <v>51</v>
      </c>
      <c r="F2" s="1">
        <v>45.0</v>
      </c>
      <c r="G2" s="1">
        <v>22.0</v>
      </c>
      <c r="H2" s="1">
        <v>0.04</v>
      </c>
      <c r="I2" s="1">
        <v>125.0</v>
      </c>
      <c r="J2" s="1">
        <v>250.0</v>
      </c>
      <c r="K2" s="1">
        <v>5.2</v>
      </c>
      <c r="L2" s="1">
        <v>145.0</v>
      </c>
      <c r="M2" s="1">
        <v>18.0</v>
      </c>
      <c r="N2" s="4">
        <f t="shared" ref="N2:N101" si="1">F2*0.75</f>
        <v>33.75</v>
      </c>
      <c r="O2" s="5">
        <f t="shared" ref="O2:O101" si="2">(N2+G2)*(1+H2)</f>
        <v>57.98</v>
      </c>
      <c r="P2" s="5">
        <f t="shared" ref="P2:P101" si="3">(I2-O2)/I2*100</f>
        <v>53.616</v>
      </c>
      <c r="Q2" s="5">
        <f t="shared" ref="Q2:Q101" si="4">I2/L2*100</f>
        <v>86.20689655</v>
      </c>
      <c r="R2" s="5">
        <f t="shared" ref="R2:R54" si="5">if(or(E2="vietnam",E2="china"),(N2+(G2*1.25))*(1+H2),O2)</f>
        <v>57.98</v>
      </c>
      <c r="S2" s="5">
        <f t="shared" ref="S2:S101" si="6">(I2-R2)/I2*100</f>
        <v>53.616</v>
      </c>
      <c r="T2" s="4" t="str">
        <f t="shared" ref="T2:T101" si="7">IF(AND(M2&gt;10,J2&lt;50),"🔴 Critical",IF(AND(M2&lt;=4,J2&gt;=50),"✅ Star","🚀Core Range"))</f>
        <v>🚀Core Range</v>
      </c>
    </row>
    <row r="3">
      <c r="A3" s="1" t="s">
        <v>207</v>
      </c>
      <c r="B3" s="1" t="s">
        <v>208</v>
      </c>
      <c r="C3" s="1" t="s">
        <v>15</v>
      </c>
      <c r="D3" s="1" t="s">
        <v>209</v>
      </c>
      <c r="E3" s="1" t="s">
        <v>25</v>
      </c>
      <c r="F3" s="1">
        <v>85.0</v>
      </c>
      <c r="G3" s="1">
        <v>45.0</v>
      </c>
      <c r="H3" s="1">
        <v>0.02</v>
      </c>
      <c r="I3" s="1">
        <v>245.0</v>
      </c>
      <c r="J3" s="1">
        <v>82.0</v>
      </c>
      <c r="K3" s="1">
        <v>5.2</v>
      </c>
      <c r="L3" s="1">
        <v>275.0</v>
      </c>
      <c r="M3" s="1">
        <v>12.0</v>
      </c>
      <c r="N3" s="4">
        <f t="shared" si="1"/>
        <v>63.75</v>
      </c>
      <c r="O3" s="5">
        <f t="shared" si="2"/>
        <v>110.925</v>
      </c>
      <c r="P3" s="5">
        <f t="shared" si="3"/>
        <v>54.7244898</v>
      </c>
      <c r="Q3" s="5">
        <f t="shared" si="4"/>
        <v>89.09090909</v>
      </c>
      <c r="R3" s="5">
        <f t="shared" si="5"/>
        <v>122.4</v>
      </c>
      <c r="S3" s="5">
        <f t="shared" si="6"/>
        <v>50.04081633</v>
      </c>
      <c r="T3" s="4" t="str">
        <f t="shared" si="7"/>
        <v>🚀Core Range</v>
      </c>
    </row>
    <row r="4">
      <c r="A4" s="1" t="s">
        <v>238</v>
      </c>
      <c r="B4" s="1" t="s">
        <v>239</v>
      </c>
      <c r="C4" s="1" t="s">
        <v>128</v>
      </c>
      <c r="D4" s="1" t="s">
        <v>240</v>
      </c>
      <c r="E4" s="1" t="s">
        <v>25</v>
      </c>
      <c r="F4" s="1">
        <v>42.0</v>
      </c>
      <c r="G4" s="1">
        <v>28.0</v>
      </c>
      <c r="H4" s="1">
        <v>0.02</v>
      </c>
      <c r="I4" s="1">
        <v>135.0</v>
      </c>
      <c r="J4" s="1">
        <v>420.0</v>
      </c>
      <c r="K4" s="1">
        <v>6.2</v>
      </c>
      <c r="L4" s="1">
        <v>155.0</v>
      </c>
      <c r="M4" s="1">
        <v>14.0</v>
      </c>
      <c r="N4" s="4">
        <f t="shared" si="1"/>
        <v>31.5</v>
      </c>
      <c r="O4" s="5">
        <f t="shared" si="2"/>
        <v>60.69</v>
      </c>
      <c r="P4" s="5">
        <f t="shared" si="3"/>
        <v>55.04444444</v>
      </c>
      <c r="Q4" s="5">
        <f t="shared" si="4"/>
        <v>87.09677419</v>
      </c>
      <c r="R4" s="5">
        <f t="shared" si="5"/>
        <v>67.83</v>
      </c>
      <c r="S4" s="5">
        <f t="shared" si="6"/>
        <v>49.75555556</v>
      </c>
      <c r="T4" s="4" t="str">
        <f t="shared" si="7"/>
        <v>🚀Core Range</v>
      </c>
    </row>
    <row r="5">
      <c r="A5" s="1" t="s">
        <v>229</v>
      </c>
      <c r="B5" s="1" t="s">
        <v>230</v>
      </c>
      <c r="C5" s="1" t="s">
        <v>15</v>
      </c>
      <c r="D5" s="1" t="s">
        <v>231</v>
      </c>
      <c r="E5" s="1" t="s">
        <v>25</v>
      </c>
      <c r="F5" s="1">
        <v>160.0</v>
      </c>
      <c r="G5" s="1">
        <v>95.0</v>
      </c>
      <c r="H5" s="1">
        <v>0.02</v>
      </c>
      <c r="I5" s="1">
        <v>495.0</v>
      </c>
      <c r="J5" s="1">
        <v>34.0</v>
      </c>
      <c r="K5" s="1">
        <v>8.5</v>
      </c>
      <c r="L5" s="1">
        <v>595.0</v>
      </c>
      <c r="M5" s="1">
        <v>14.0</v>
      </c>
      <c r="N5" s="4">
        <f t="shared" si="1"/>
        <v>120</v>
      </c>
      <c r="O5" s="5">
        <f t="shared" si="2"/>
        <v>219.3</v>
      </c>
      <c r="P5" s="5">
        <f t="shared" si="3"/>
        <v>55.6969697</v>
      </c>
      <c r="Q5" s="5">
        <f t="shared" si="4"/>
        <v>83.19327731</v>
      </c>
      <c r="R5" s="5">
        <f t="shared" si="5"/>
        <v>243.525</v>
      </c>
      <c r="S5" s="5">
        <f t="shared" si="6"/>
        <v>50.8030303</v>
      </c>
      <c r="T5" s="4" t="str">
        <f t="shared" si="7"/>
        <v>🔴 Critical</v>
      </c>
    </row>
    <row r="6">
      <c r="A6" s="1" t="s">
        <v>150</v>
      </c>
      <c r="B6" s="1" t="s">
        <v>151</v>
      </c>
      <c r="C6" s="1" t="s">
        <v>15</v>
      </c>
      <c r="D6" s="1" t="s">
        <v>152</v>
      </c>
      <c r="E6" s="1" t="s">
        <v>25</v>
      </c>
      <c r="F6" s="1">
        <v>65.0</v>
      </c>
      <c r="G6" s="1">
        <v>35.0</v>
      </c>
      <c r="H6" s="1">
        <v>0.02</v>
      </c>
      <c r="I6" s="1">
        <v>195.0</v>
      </c>
      <c r="J6" s="1">
        <v>115.0</v>
      </c>
      <c r="K6" s="1">
        <v>2.3</v>
      </c>
      <c r="L6" s="1">
        <v>225.0</v>
      </c>
      <c r="M6" s="1">
        <v>12.0</v>
      </c>
      <c r="N6" s="4">
        <f t="shared" si="1"/>
        <v>48.75</v>
      </c>
      <c r="O6" s="5">
        <f t="shared" si="2"/>
        <v>85.425</v>
      </c>
      <c r="P6" s="5">
        <f t="shared" si="3"/>
        <v>56.19230769</v>
      </c>
      <c r="Q6" s="5">
        <f t="shared" si="4"/>
        <v>86.66666667</v>
      </c>
      <c r="R6" s="5">
        <f t="shared" si="5"/>
        <v>94.35</v>
      </c>
      <c r="S6" s="5">
        <f t="shared" si="6"/>
        <v>51.61538462</v>
      </c>
      <c r="T6" s="4" t="str">
        <f t="shared" si="7"/>
        <v>🚀Core Range</v>
      </c>
    </row>
    <row r="7">
      <c r="A7" s="1" t="s">
        <v>18</v>
      </c>
      <c r="B7" s="1" t="s">
        <v>19</v>
      </c>
      <c r="C7" s="1" t="s">
        <v>20</v>
      </c>
      <c r="D7" s="1" t="s">
        <v>16</v>
      </c>
      <c r="E7" s="1" t="s">
        <v>17</v>
      </c>
      <c r="F7" s="1">
        <v>75.0</v>
      </c>
      <c r="G7" s="1">
        <v>25.0</v>
      </c>
      <c r="H7" s="1">
        <v>0.04</v>
      </c>
      <c r="I7" s="1">
        <v>195.0</v>
      </c>
      <c r="J7" s="1">
        <v>210.0</v>
      </c>
      <c r="K7" s="1">
        <v>1.8</v>
      </c>
      <c r="L7" s="1">
        <v>225.0</v>
      </c>
      <c r="M7" s="1">
        <v>14.0</v>
      </c>
      <c r="N7" s="4">
        <f t="shared" si="1"/>
        <v>56.25</v>
      </c>
      <c r="O7" s="5">
        <f t="shared" si="2"/>
        <v>84.5</v>
      </c>
      <c r="P7" s="5">
        <f t="shared" si="3"/>
        <v>56.66666667</v>
      </c>
      <c r="Q7" s="5">
        <f t="shared" si="4"/>
        <v>86.66666667</v>
      </c>
      <c r="R7" s="5">
        <f t="shared" si="5"/>
        <v>91</v>
      </c>
      <c r="S7" s="5">
        <f t="shared" si="6"/>
        <v>53.33333333</v>
      </c>
      <c r="T7" s="4" t="str">
        <f t="shared" si="7"/>
        <v>🚀Core Range</v>
      </c>
    </row>
    <row r="8">
      <c r="A8" s="1" t="s">
        <v>255</v>
      </c>
      <c r="B8" s="1" t="s">
        <v>256</v>
      </c>
      <c r="C8" s="1" t="s">
        <v>80</v>
      </c>
      <c r="D8" s="1" t="s">
        <v>137</v>
      </c>
      <c r="E8" s="1" t="s">
        <v>17</v>
      </c>
      <c r="F8" s="1">
        <v>55.0</v>
      </c>
      <c r="G8" s="1">
        <v>35.0</v>
      </c>
      <c r="H8" s="1">
        <v>0.04</v>
      </c>
      <c r="I8" s="1">
        <v>185.0</v>
      </c>
      <c r="J8" s="1">
        <v>165.0</v>
      </c>
      <c r="K8" s="1">
        <v>3.2</v>
      </c>
      <c r="L8" s="1">
        <v>210.0</v>
      </c>
      <c r="M8" s="1">
        <v>14.0</v>
      </c>
      <c r="N8" s="4">
        <f t="shared" si="1"/>
        <v>41.25</v>
      </c>
      <c r="O8" s="5">
        <f t="shared" si="2"/>
        <v>79.3</v>
      </c>
      <c r="P8" s="5">
        <f t="shared" si="3"/>
        <v>57.13513514</v>
      </c>
      <c r="Q8" s="5">
        <f t="shared" si="4"/>
        <v>88.0952381</v>
      </c>
      <c r="R8" s="5">
        <f t="shared" si="5"/>
        <v>88.4</v>
      </c>
      <c r="S8" s="5">
        <f t="shared" si="6"/>
        <v>52.21621622</v>
      </c>
      <c r="T8" s="4" t="str">
        <f t="shared" si="7"/>
        <v>🚀Core Range</v>
      </c>
      <c r="V8" s="6" t="s">
        <v>311</v>
      </c>
    </row>
    <row r="9">
      <c r="A9" s="1" t="s">
        <v>279</v>
      </c>
      <c r="B9" s="1" t="s">
        <v>280</v>
      </c>
      <c r="C9" s="1" t="s">
        <v>30</v>
      </c>
      <c r="D9" s="1" t="s">
        <v>281</v>
      </c>
      <c r="E9" s="1" t="s">
        <v>282</v>
      </c>
      <c r="F9" s="1">
        <v>120.0</v>
      </c>
      <c r="G9" s="1">
        <v>95.0</v>
      </c>
      <c r="H9" s="1">
        <v>0.04</v>
      </c>
      <c r="I9" s="1">
        <v>450.0</v>
      </c>
      <c r="J9" s="1">
        <v>55.0</v>
      </c>
      <c r="K9" s="1">
        <v>1.9</v>
      </c>
      <c r="L9" s="1">
        <v>495.0</v>
      </c>
      <c r="M9" s="1">
        <v>16.0</v>
      </c>
      <c r="N9" s="4">
        <f t="shared" si="1"/>
        <v>90</v>
      </c>
      <c r="O9" s="5">
        <f t="shared" si="2"/>
        <v>192.4</v>
      </c>
      <c r="P9" s="5">
        <f t="shared" si="3"/>
        <v>57.24444444</v>
      </c>
      <c r="Q9" s="5">
        <f t="shared" si="4"/>
        <v>90.90909091</v>
      </c>
      <c r="R9" s="5">
        <f t="shared" si="5"/>
        <v>192.4</v>
      </c>
      <c r="S9" s="5">
        <f t="shared" si="6"/>
        <v>57.24444444</v>
      </c>
      <c r="T9" s="4" t="str">
        <f t="shared" si="7"/>
        <v>🚀Core Range</v>
      </c>
      <c r="V9" s="7" t="s">
        <v>312</v>
      </c>
      <c r="W9" s="8" t="s">
        <v>40</v>
      </c>
    </row>
    <row r="10">
      <c r="A10" s="1" t="s">
        <v>63</v>
      </c>
      <c r="B10" s="1" t="s">
        <v>64</v>
      </c>
      <c r="C10" s="1" t="s">
        <v>23</v>
      </c>
      <c r="D10" s="1" t="s">
        <v>65</v>
      </c>
      <c r="E10" s="1" t="s">
        <v>17</v>
      </c>
      <c r="F10" s="1">
        <v>95.0</v>
      </c>
      <c r="G10" s="1">
        <v>45.0</v>
      </c>
      <c r="H10" s="1">
        <v>0.04</v>
      </c>
      <c r="I10" s="1">
        <v>295.0</v>
      </c>
      <c r="J10" s="1">
        <v>110.0</v>
      </c>
      <c r="K10" s="1">
        <v>2.5</v>
      </c>
      <c r="L10" s="1">
        <v>325.0</v>
      </c>
      <c r="M10" s="1">
        <v>14.0</v>
      </c>
      <c r="N10" s="4">
        <f t="shared" si="1"/>
        <v>71.25</v>
      </c>
      <c r="O10" s="5">
        <f t="shared" si="2"/>
        <v>120.9</v>
      </c>
      <c r="P10" s="5">
        <f t="shared" si="3"/>
        <v>59.01694915</v>
      </c>
      <c r="Q10" s="5">
        <f t="shared" si="4"/>
        <v>90.76923077</v>
      </c>
      <c r="R10" s="5">
        <f t="shared" si="5"/>
        <v>132.6</v>
      </c>
      <c r="S10" s="5">
        <f t="shared" si="6"/>
        <v>55.05084746</v>
      </c>
      <c r="T10" s="4" t="str">
        <f t="shared" si="7"/>
        <v>🚀Core Range</v>
      </c>
      <c r="V10" s="7" t="s">
        <v>313</v>
      </c>
      <c r="W10" s="9">
        <f t="array" ref="W10">XLOOKUP($W$9,B:B,J:J,"Not Found")</f>
        <v>240</v>
      </c>
    </row>
    <row r="11">
      <c r="A11" s="1" t="s">
        <v>232</v>
      </c>
      <c r="B11" s="1" t="s">
        <v>233</v>
      </c>
      <c r="C11" s="1" t="s">
        <v>80</v>
      </c>
      <c r="D11" s="1" t="s">
        <v>234</v>
      </c>
      <c r="E11" s="1" t="s">
        <v>25</v>
      </c>
      <c r="F11" s="1">
        <v>55.0</v>
      </c>
      <c r="G11" s="1">
        <v>25.0</v>
      </c>
      <c r="H11" s="1">
        <v>0.02</v>
      </c>
      <c r="I11" s="1">
        <v>165.0</v>
      </c>
      <c r="J11" s="1">
        <v>85.0</v>
      </c>
      <c r="K11" s="1">
        <v>2.6</v>
      </c>
      <c r="L11" s="1">
        <v>185.0</v>
      </c>
      <c r="M11" s="1">
        <v>12.0</v>
      </c>
      <c r="N11" s="4">
        <f t="shared" si="1"/>
        <v>41.25</v>
      </c>
      <c r="O11" s="5">
        <f t="shared" si="2"/>
        <v>67.575</v>
      </c>
      <c r="P11" s="5">
        <f t="shared" si="3"/>
        <v>59.04545455</v>
      </c>
      <c r="Q11" s="5">
        <f t="shared" si="4"/>
        <v>89.18918919</v>
      </c>
      <c r="R11" s="5">
        <f t="shared" si="5"/>
        <v>73.95</v>
      </c>
      <c r="S11" s="5">
        <f t="shared" si="6"/>
        <v>55.18181818</v>
      </c>
      <c r="T11" s="4" t="str">
        <f t="shared" si="7"/>
        <v>🚀Core Range</v>
      </c>
      <c r="V11" s="7" t="s">
        <v>314</v>
      </c>
      <c r="W11" s="9">
        <f t="array" ref="W11">XLOOKUP($W$9,B:B,M:M,"Not Found")</f>
        <v>3</v>
      </c>
    </row>
    <row r="12">
      <c r="A12" s="1" t="s">
        <v>82</v>
      </c>
      <c r="B12" s="1" t="s">
        <v>83</v>
      </c>
      <c r="C12" s="1" t="s">
        <v>15</v>
      </c>
      <c r="D12" s="1" t="s">
        <v>84</v>
      </c>
      <c r="E12" s="1" t="s">
        <v>73</v>
      </c>
      <c r="F12" s="1">
        <v>120.0</v>
      </c>
      <c r="G12" s="1">
        <v>65.0</v>
      </c>
      <c r="H12" s="1">
        <v>0.04</v>
      </c>
      <c r="I12" s="1">
        <v>395.0</v>
      </c>
      <c r="J12" s="1">
        <v>55.0</v>
      </c>
      <c r="K12" s="1">
        <v>8.1</v>
      </c>
      <c r="L12" s="1">
        <v>450.0</v>
      </c>
      <c r="M12" s="1">
        <v>14.0</v>
      </c>
      <c r="N12" s="4">
        <f t="shared" si="1"/>
        <v>90</v>
      </c>
      <c r="O12" s="5">
        <f t="shared" si="2"/>
        <v>161.2</v>
      </c>
      <c r="P12" s="5">
        <f t="shared" si="3"/>
        <v>59.18987342</v>
      </c>
      <c r="Q12" s="5">
        <f t="shared" si="4"/>
        <v>87.77777778</v>
      </c>
      <c r="R12" s="5">
        <f t="shared" si="5"/>
        <v>161.2</v>
      </c>
      <c r="S12" s="5">
        <f t="shared" si="6"/>
        <v>59.18987342</v>
      </c>
      <c r="T12" s="4" t="str">
        <f t="shared" si="7"/>
        <v>🚀Core Range</v>
      </c>
      <c r="V12" s="7" t="s">
        <v>315</v>
      </c>
      <c r="W12" s="10">
        <f t="array" ref="W12">XLOOKUP($W$9,B:B,P:P,"Not Found")</f>
        <v>67.85714286</v>
      </c>
    </row>
    <row r="13">
      <c r="A13" s="1" t="s">
        <v>141</v>
      </c>
      <c r="B13" s="1" t="s">
        <v>142</v>
      </c>
      <c r="C13" s="1" t="s">
        <v>15</v>
      </c>
      <c r="D13" s="1" t="s">
        <v>143</v>
      </c>
      <c r="E13" s="1" t="s">
        <v>25</v>
      </c>
      <c r="F13" s="1">
        <v>110.0</v>
      </c>
      <c r="G13" s="1">
        <v>55.0</v>
      </c>
      <c r="H13" s="1">
        <v>0.02</v>
      </c>
      <c r="I13" s="1">
        <v>345.0</v>
      </c>
      <c r="J13" s="1">
        <v>62.0</v>
      </c>
      <c r="K13" s="1">
        <v>4.4</v>
      </c>
      <c r="L13" s="1">
        <v>395.0</v>
      </c>
      <c r="M13" s="1">
        <v>12.0</v>
      </c>
      <c r="N13" s="4">
        <f t="shared" si="1"/>
        <v>82.5</v>
      </c>
      <c r="O13" s="5">
        <f t="shared" si="2"/>
        <v>140.25</v>
      </c>
      <c r="P13" s="5">
        <f t="shared" si="3"/>
        <v>59.34782609</v>
      </c>
      <c r="Q13" s="5">
        <f t="shared" si="4"/>
        <v>87.34177215</v>
      </c>
      <c r="R13" s="5">
        <f t="shared" si="5"/>
        <v>154.275</v>
      </c>
      <c r="S13" s="5">
        <f t="shared" si="6"/>
        <v>55.2826087</v>
      </c>
      <c r="T13" s="4" t="str">
        <f t="shared" si="7"/>
        <v>🚀Core Range</v>
      </c>
      <c r="V13" s="7" t="s">
        <v>316</v>
      </c>
      <c r="W13" s="10">
        <f t="array" ref="W13">XLOOKUP($W$9,B:B,Q:Q,"Not Found")</f>
        <v>89.74358974</v>
      </c>
    </row>
    <row r="14">
      <c r="A14" s="1" t="s">
        <v>268</v>
      </c>
      <c r="B14" s="1" t="s">
        <v>269</v>
      </c>
      <c r="C14" s="1" t="s">
        <v>23</v>
      </c>
      <c r="D14" s="1" t="s">
        <v>270</v>
      </c>
      <c r="E14" s="1" t="s">
        <v>25</v>
      </c>
      <c r="F14" s="1">
        <v>95.0</v>
      </c>
      <c r="G14" s="1">
        <v>45.0</v>
      </c>
      <c r="H14" s="1">
        <v>0.02</v>
      </c>
      <c r="I14" s="1">
        <v>295.0</v>
      </c>
      <c r="J14" s="1">
        <v>115.0</v>
      </c>
      <c r="K14" s="1">
        <v>3.9</v>
      </c>
      <c r="L14" s="1">
        <v>325.0</v>
      </c>
      <c r="M14" s="1">
        <v>12.0</v>
      </c>
      <c r="N14" s="4">
        <f t="shared" si="1"/>
        <v>71.25</v>
      </c>
      <c r="O14" s="5">
        <f t="shared" si="2"/>
        <v>118.575</v>
      </c>
      <c r="P14" s="5">
        <f t="shared" si="3"/>
        <v>59.80508475</v>
      </c>
      <c r="Q14" s="5">
        <f t="shared" si="4"/>
        <v>90.76923077</v>
      </c>
      <c r="R14" s="5">
        <f t="shared" si="5"/>
        <v>130.05</v>
      </c>
      <c r="S14" s="5">
        <f t="shared" si="6"/>
        <v>55.91525424</v>
      </c>
      <c r="T14" s="4" t="str">
        <f t="shared" si="7"/>
        <v>🚀Core Range</v>
      </c>
      <c r="V14" s="7" t="s">
        <v>317</v>
      </c>
      <c r="W14" s="9" t="str">
        <f t="array" ref="W14">XLOOKUP($W$9,B:B,T:T,"Not Found")</f>
        <v>✅ Star</v>
      </c>
    </row>
    <row r="15">
      <c r="A15" s="1" t="s">
        <v>78</v>
      </c>
      <c r="B15" s="1" t="s">
        <v>79</v>
      </c>
      <c r="C15" s="1" t="s">
        <v>80</v>
      </c>
      <c r="D15" s="1" t="s">
        <v>81</v>
      </c>
      <c r="E15" s="1" t="s">
        <v>25</v>
      </c>
      <c r="F15" s="1">
        <v>65.0</v>
      </c>
      <c r="G15" s="1">
        <v>28.0</v>
      </c>
      <c r="H15" s="1">
        <v>0.02</v>
      </c>
      <c r="I15" s="1">
        <v>195.0</v>
      </c>
      <c r="J15" s="1">
        <v>310.0</v>
      </c>
      <c r="K15" s="1">
        <v>4.1</v>
      </c>
      <c r="L15" s="1">
        <v>210.0</v>
      </c>
      <c r="M15" s="1">
        <v>12.0</v>
      </c>
      <c r="N15" s="4">
        <f t="shared" si="1"/>
        <v>48.75</v>
      </c>
      <c r="O15" s="5">
        <f t="shared" si="2"/>
        <v>78.285</v>
      </c>
      <c r="P15" s="5">
        <f t="shared" si="3"/>
        <v>59.85384615</v>
      </c>
      <c r="Q15" s="5">
        <f t="shared" si="4"/>
        <v>92.85714286</v>
      </c>
      <c r="R15" s="5">
        <f t="shared" si="5"/>
        <v>85.425</v>
      </c>
      <c r="S15" s="5">
        <f t="shared" si="6"/>
        <v>56.19230769</v>
      </c>
      <c r="T15" s="4" t="str">
        <f t="shared" si="7"/>
        <v>🚀Core Range</v>
      </c>
    </row>
    <row r="16">
      <c r="A16" s="1" t="s">
        <v>26</v>
      </c>
      <c r="B16" s="1" t="s">
        <v>27</v>
      </c>
      <c r="C16" s="1" t="s">
        <v>23</v>
      </c>
      <c r="D16" s="1" t="s">
        <v>24</v>
      </c>
      <c r="E16" s="1" t="s">
        <v>25</v>
      </c>
      <c r="F16" s="1">
        <v>140.0</v>
      </c>
      <c r="G16" s="1">
        <v>50.0</v>
      </c>
      <c r="H16" s="1">
        <v>0.02</v>
      </c>
      <c r="I16" s="1">
        <v>395.0</v>
      </c>
      <c r="J16" s="1">
        <v>112.0</v>
      </c>
      <c r="K16" s="1">
        <v>3.2</v>
      </c>
      <c r="L16" s="1">
        <v>450.0</v>
      </c>
      <c r="M16" s="1">
        <v>12.0</v>
      </c>
      <c r="N16" s="4">
        <f t="shared" si="1"/>
        <v>105</v>
      </c>
      <c r="O16" s="5">
        <f t="shared" si="2"/>
        <v>158.1</v>
      </c>
      <c r="P16" s="5">
        <f t="shared" si="3"/>
        <v>59.97468354</v>
      </c>
      <c r="Q16" s="5">
        <f t="shared" si="4"/>
        <v>87.77777778</v>
      </c>
      <c r="R16" s="5">
        <f t="shared" si="5"/>
        <v>170.85</v>
      </c>
      <c r="S16" s="5">
        <f t="shared" si="6"/>
        <v>56.74683544</v>
      </c>
      <c r="T16" s="4" t="str">
        <f t="shared" si="7"/>
        <v>🚀Core Range</v>
      </c>
    </row>
    <row r="17">
      <c r="A17" s="1" t="s">
        <v>156</v>
      </c>
      <c r="B17" s="1" t="s">
        <v>157</v>
      </c>
      <c r="C17" s="1" t="s">
        <v>49</v>
      </c>
      <c r="D17" s="1" t="s">
        <v>50</v>
      </c>
      <c r="E17" s="1" t="s">
        <v>17</v>
      </c>
      <c r="F17" s="1">
        <v>55.0</v>
      </c>
      <c r="G17" s="1">
        <v>25.0</v>
      </c>
      <c r="H17" s="1">
        <v>0.04</v>
      </c>
      <c r="I17" s="1">
        <v>175.0</v>
      </c>
      <c r="J17" s="1">
        <v>220.0</v>
      </c>
      <c r="K17" s="1">
        <v>7.1</v>
      </c>
      <c r="L17" s="1">
        <v>195.0</v>
      </c>
      <c r="M17" s="1">
        <v>16.0</v>
      </c>
      <c r="N17" s="4">
        <f t="shared" si="1"/>
        <v>41.25</v>
      </c>
      <c r="O17" s="5">
        <f t="shared" si="2"/>
        <v>68.9</v>
      </c>
      <c r="P17" s="5">
        <f t="shared" si="3"/>
        <v>60.62857143</v>
      </c>
      <c r="Q17" s="5">
        <f t="shared" si="4"/>
        <v>89.74358974</v>
      </c>
      <c r="R17" s="5">
        <f t="shared" si="5"/>
        <v>75.4</v>
      </c>
      <c r="S17" s="5">
        <f t="shared" si="6"/>
        <v>56.91428571</v>
      </c>
      <c r="T17" s="4" t="str">
        <f t="shared" si="7"/>
        <v>🚀Core Range</v>
      </c>
    </row>
    <row r="18">
      <c r="A18" s="1" t="s">
        <v>183</v>
      </c>
      <c r="B18" s="1" t="s">
        <v>184</v>
      </c>
      <c r="C18" s="1" t="s">
        <v>71</v>
      </c>
      <c r="D18" s="1" t="s">
        <v>185</v>
      </c>
      <c r="E18" s="1" t="s">
        <v>17</v>
      </c>
      <c r="F18" s="1">
        <v>12.0</v>
      </c>
      <c r="G18" s="1">
        <v>8.0</v>
      </c>
      <c r="H18" s="1">
        <v>0.04</v>
      </c>
      <c r="I18" s="1">
        <v>45.0</v>
      </c>
      <c r="J18" s="1">
        <v>620.0</v>
      </c>
      <c r="K18" s="1">
        <v>3.5</v>
      </c>
      <c r="L18" s="1">
        <v>55.0</v>
      </c>
      <c r="M18" s="1">
        <v>14.0</v>
      </c>
      <c r="N18" s="4">
        <f t="shared" si="1"/>
        <v>9</v>
      </c>
      <c r="O18" s="5">
        <f t="shared" si="2"/>
        <v>17.68</v>
      </c>
      <c r="P18" s="5">
        <f t="shared" si="3"/>
        <v>60.71111111</v>
      </c>
      <c r="Q18" s="5">
        <f t="shared" si="4"/>
        <v>81.81818182</v>
      </c>
      <c r="R18" s="5">
        <f t="shared" si="5"/>
        <v>19.76</v>
      </c>
      <c r="S18" s="5">
        <f t="shared" si="6"/>
        <v>56.08888889</v>
      </c>
      <c r="T18" s="4" t="str">
        <f t="shared" si="7"/>
        <v>🚀Core Range</v>
      </c>
    </row>
    <row r="19">
      <c r="A19" s="1" t="s">
        <v>276</v>
      </c>
      <c r="B19" s="1" t="s">
        <v>277</v>
      </c>
      <c r="C19" s="1" t="s">
        <v>80</v>
      </c>
      <c r="D19" s="1" t="s">
        <v>278</v>
      </c>
      <c r="E19" s="1" t="s">
        <v>25</v>
      </c>
      <c r="F19" s="1">
        <v>45.0</v>
      </c>
      <c r="G19" s="1">
        <v>22.0</v>
      </c>
      <c r="H19" s="1">
        <v>0.02</v>
      </c>
      <c r="I19" s="1">
        <v>145.0</v>
      </c>
      <c r="J19" s="1">
        <v>130.0</v>
      </c>
      <c r="K19" s="1">
        <v>2.7</v>
      </c>
      <c r="L19" s="1">
        <v>165.0</v>
      </c>
      <c r="M19" s="1">
        <v>10.0</v>
      </c>
      <c r="N19" s="4">
        <f t="shared" si="1"/>
        <v>33.75</v>
      </c>
      <c r="O19" s="5">
        <f t="shared" si="2"/>
        <v>56.865</v>
      </c>
      <c r="P19" s="5">
        <f t="shared" si="3"/>
        <v>60.78275862</v>
      </c>
      <c r="Q19" s="5">
        <f t="shared" si="4"/>
        <v>87.87878788</v>
      </c>
      <c r="R19" s="5">
        <f t="shared" si="5"/>
        <v>62.475</v>
      </c>
      <c r="S19" s="5">
        <f t="shared" si="6"/>
        <v>56.9137931</v>
      </c>
      <c r="T19" s="4" t="str">
        <f t="shared" si="7"/>
        <v>🚀Core Range</v>
      </c>
    </row>
    <row r="20">
      <c r="A20" s="1" t="s">
        <v>164</v>
      </c>
      <c r="B20" s="1" t="s">
        <v>165</v>
      </c>
      <c r="C20" s="1" t="s">
        <v>15</v>
      </c>
      <c r="D20" s="1" t="s">
        <v>166</v>
      </c>
      <c r="E20" s="1" t="s">
        <v>73</v>
      </c>
      <c r="F20" s="1">
        <v>160.0</v>
      </c>
      <c r="G20" s="1">
        <v>85.0</v>
      </c>
      <c r="H20" s="1">
        <v>0.04</v>
      </c>
      <c r="I20" s="1">
        <v>550.0</v>
      </c>
      <c r="J20" s="1">
        <v>48.0</v>
      </c>
      <c r="K20" s="1">
        <v>9.2</v>
      </c>
      <c r="L20" s="1">
        <v>650.0</v>
      </c>
      <c r="M20" s="1">
        <v>16.0</v>
      </c>
      <c r="N20" s="4">
        <f t="shared" si="1"/>
        <v>120</v>
      </c>
      <c r="O20" s="5">
        <f t="shared" si="2"/>
        <v>213.2</v>
      </c>
      <c r="P20" s="5">
        <f t="shared" si="3"/>
        <v>61.23636364</v>
      </c>
      <c r="Q20" s="5">
        <f t="shared" si="4"/>
        <v>84.61538462</v>
      </c>
      <c r="R20" s="5">
        <f t="shared" si="5"/>
        <v>213.2</v>
      </c>
      <c r="S20" s="5">
        <f t="shared" si="6"/>
        <v>61.23636364</v>
      </c>
      <c r="T20" s="4" t="str">
        <f t="shared" si="7"/>
        <v>🔴 Critical</v>
      </c>
    </row>
    <row r="21">
      <c r="A21" s="1" t="s">
        <v>262</v>
      </c>
      <c r="B21" s="1" t="s">
        <v>263</v>
      </c>
      <c r="C21" s="1" t="s">
        <v>59</v>
      </c>
      <c r="D21" s="1" t="s">
        <v>264</v>
      </c>
      <c r="E21" s="1" t="s">
        <v>25</v>
      </c>
      <c r="F21" s="1">
        <v>12.0</v>
      </c>
      <c r="G21" s="1">
        <v>8.0</v>
      </c>
      <c r="H21" s="1">
        <v>0.02</v>
      </c>
      <c r="I21" s="1">
        <v>45.0</v>
      </c>
      <c r="J21" s="1">
        <v>750.0</v>
      </c>
      <c r="K21" s="1">
        <v>4.1</v>
      </c>
      <c r="L21" s="1">
        <v>55.0</v>
      </c>
      <c r="M21" s="1">
        <v>10.0</v>
      </c>
      <c r="N21" s="4">
        <f t="shared" si="1"/>
        <v>9</v>
      </c>
      <c r="O21" s="5">
        <f t="shared" si="2"/>
        <v>17.34</v>
      </c>
      <c r="P21" s="5">
        <f t="shared" si="3"/>
        <v>61.46666667</v>
      </c>
      <c r="Q21" s="5">
        <f t="shared" si="4"/>
        <v>81.81818182</v>
      </c>
      <c r="R21" s="5">
        <f t="shared" si="5"/>
        <v>19.38</v>
      </c>
      <c r="S21" s="5">
        <f t="shared" si="6"/>
        <v>56.93333333</v>
      </c>
      <c r="T21" s="4" t="str">
        <f t="shared" si="7"/>
        <v>🚀Core Range</v>
      </c>
    </row>
    <row r="22">
      <c r="A22" s="1" t="s">
        <v>21</v>
      </c>
      <c r="B22" s="1" t="s">
        <v>22</v>
      </c>
      <c r="C22" s="1" t="s">
        <v>23</v>
      </c>
      <c r="D22" s="1" t="s">
        <v>24</v>
      </c>
      <c r="E22" s="1" t="s">
        <v>25</v>
      </c>
      <c r="F22" s="1">
        <v>180.0</v>
      </c>
      <c r="G22" s="1">
        <v>65.0</v>
      </c>
      <c r="H22" s="1">
        <v>0.02</v>
      </c>
      <c r="I22" s="1">
        <v>550.0</v>
      </c>
      <c r="J22" s="1">
        <v>88.0</v>
      </c>
      <c r="K22" s="1">
        <v>4.5</v>
      </c>
      <c r="L22" s="1">
        <v>595.0</v>
      </c>
      <c r="M22" s="1">
        <v>12.0</v>
      </c>
      <c r="N22" s="4">
        <f t="shared" si="1"/>
        <v>135</v>
      </c>
      <c r="O22" s="5">
        <f t="shared" si="2"/>
        <v>204</v>
      </c>
      <c r="P22" s="5">
        <f t="shared" si="3"/>
        <v>62.90909091</v>
      </c>
      <c r="Q22" s="5">
        <f t="shared" si="4"/>
        <v>92.43697479</v>
      </c>
      <c r="R22" s="5">
        <f t="shared" si="5"/>
        <v>220.575</v>
      </c>
      <c r="S22" s="5">
        <f t="shared" si="6"/>
        <v>59.89545455</v>
      </c>
      <c r="T22" s="4" t="str">
        <f t="shared" si="7"/>
        <v>🚀Core Range</v>
      </c>
    </row>
    <row r="23">
      <c r="A23" s="1" t="s">
        <v>221</v>
      </c>
      <c r="B23" s="1" t="s">
        <v>222</v>
      </c>
      <c r="C23" s="1" t="s">
        <v>49</v>
      </c>
      <c r="D23" s="1" t="s">
        <v>223</v>
      </c>
      <c r="E23" s="1" t="s">
        <v>38</v>
      </c>
      <c r="F23" s="1">
        <v>110.0</v>
      </c>
      <c r="G23" s="1">
        <v>45.0</v>
      </c>
      <c r="H23" s="1">
        <v>0.0</v>
      </c>
      <c r="I23" s="1">
        <v>345.0</v>
      </c>
      <c r="J23" s="1">
        <v>55.0</v>
      </c>
      <c r="K23" s="1">
        <v>3.1</v>
      </c>
      <c r="L23" s="1">
        <v>395.0</v>
      </c>
      <c r="M23" s="1">
        <v>7.0</v>
      </c>
      <c r="N23" s="4">
        <f t="shared" si="1"/>
        <v>82.5</v>
      </c>
      <c r="O23" s="5">
        <f t="shared" si="2"/>
        <v>127.5</v>
      </c>
      <c r="P23" s="5">
        <f t="shared" si="3"/>
        <v>63.04347826</v>
      </c>
      <c r="Q23" s="5">
        <f t="shared" si="4"/>
        <v>87.34177215</v>
      </c>
      <c r="R23" s="5">
        <f t="shared" si="5"/>
        <v>127.5</v>
      </c>
      <c r="S23" s="5">
        <f t="shared" si="6"/>
        <v>63.04347826</v>
      </c>
      <c r="T23" s="4" t="str">
        <f t="shared" si="7"/>
        <v>🚀Core Range</v>
      </c>
    </row>
    <row r="24">
      <c r="A24" s="1" t="s">
        <v>201</v>
      </c>
      <c r="B24" s="1" t="s">
        <v>202</v>
      </c>
      <c r="C24" s="1" t="s">
        <v>23</v>
      </c>
      <c r="D24" s="1" t="s">
        <v>103</v>
      </c>
      <c r="E24" s="1" t="s">
        <v>25</v>
      </c>
      <c r="F24" s="1">
        <v>18.0</v>
      </c>
      <c r="G24" s="1">
        <v>10.0</v>
      </c>
      <c r="H24" s="1">
        <v>0.02</v>
      </c>
      <c r="I24" s="1">
        <v>65.0</v>
      </c>
      <c r="J24" s="1">
        <v>410.0</v>
      </c>
      <c r="K24" s="1">
        <v>2.1</v>
      </c>
      <c r="L24" s="1">
        <v>75.0</v>
      </c>
      <c r="M24" s="1">
        <v>12.0</v>
      </c>
      <c r="N24" s="4">
        <f t="shared" si="1"/>
        <v>13.5</v>
      </c>
      <c r="O24" s="5">
        <f t="shared" si="2"/>
        <v>23.97</v>
      </c>
      <c r="P24" s="5">
        <f t="shared" si="3"/>
        <v>63.12307692</v>
      </c>
      <c r="Q24" s="5">
        <f t="shared" si="4"/>
        <v>86.66666667</v>
      </c>
      <c r="R24" s="5">
        <f t="shared" si="5"/>
        <v>26.52</v>
      </c>
      <c r="S24" s="5">
        <f t="shared" si="6"/>
        <v>59.2</v>
      </c>
      <c r="T24" s="4" t="str">
        <f t="shared" si="7"/>
        <v>🚀Core Range</v>
      </c>
    </row>
    <row r="25">
      <c r="A25" s="1" t="s">
        <v>296</v>
      </c>
      <c r="B25" s="1" t="s">
        <v>297</v>
      </c>
      <c r="C25" s="1" t="s">
        <v>15</v>
      </c>
      <c r="D25" s="1" t="s">
        <v>298</v>
      </c>
      <c r="E25" s="1" t="s">
        <v>17</v>
      </c>
      <c r="F25" s="1">
        <v>145.0</v>
      </c>
      <c r="G25" s="1">
        <v>65.0</v>
      </c>
      <c r="H25" s="1">
        <v>0.04</v>
      </c>
      <c r="I25" s="1">
        <v>495.0</v>
      </c>
      <c r="J25" s="1">
        <v>52.0</v>
      </c>
      <c r="K25" s="1">
        <v>3.3</v>
      </c>
      <c r="L25" s="1">
        <v>550.0</v>
      </c>
      <c r="M25" s="1">
        <v>14.0</v>
      </c>
      <c r="N25" s="4">
        <f t="shared" si="1"/>
        <v>108.75</v>
      </c>
      <c r="O25" s="5">
        <f t="shared" si="2"/>
        <v>180.7</v>
      </c>
      <c r="P25" s="5">
        <f t="shared" si="3"/>
        <v>63.49494949</v>
      </c>
      <c r="Q25" s="5">
        <f t="shared" si="4"/>
        <v>90</v>
      </c>
      <c r="R25" s="5">
        <f t="shared" si="5"/>
        <v>197.6</v>
      </c>
      <c r="S25" s="5">
        <f t="shared" si="6"/>
        <v>60.08080808</v>
      </c>
      <c r="T25" s="4" t="str">
        <f t="shared" si="7"/>
        <v>🚀Core Range</v>
      </c>
    </row>
    <row r="26">
      <c r="A26" s="1" t="s">
        <v>293</v>
      </c>
      <c r="B26" s="1" t="s">
        <v>294</v>
      </c>
      <c r="C26" s="1" t="s">
        <v>71</v>
      </c>
      <c r="D26" s="1" t="s">
        <v>295</v>
      </c>
      <c r="E26" s="1" t="s">
        <v>73</v>
      </c>
      <c r="F26" s="1">
        <v>5.0</v>
      </c>
      <c r="G26" s="1">
        <v>5.0</v>
      </c>
      <c r="H26" s="1">
        <v>0.04</v>
      </c>
      <c r="I26" s="1">
        <v>25.0</v>
      </c>
      <c r="J26" s="1">
        <v>950.0</v>
      </c>
      <c r="K26" s="1">
        <v>1.2</v>
      </c>
      <c r="L26" s="1">
        <v>30.0</v>
      </c>
      <c r="M26" s="1">
        <v>12.0</v>
      </c>
      <c r="N26" s="4">
        <f t="shared" si="1"/>
        <v>3.75</v>
      </c>
      <c r="O26" s="5">
        <f t="shared" si="2"/>
        <v>9.1</v>
      </c>
      <c r="P26" s="5">
        <f t="shared" si="3"/>
        <v>63.6</v>
      </c>
      <c r="Q26" s="5">
        <f t="shared" si="4"/>
        <v>83.33333333</v>
      </c>
      <c r="R26" s="5">
        <f t="shared" si="5"/>
        <v>9.1</v>
      </c>
      <c r="S26" s="5">
        <f t="shared" si="6"/>
        <v>63.6</v>
      </c>
      <c r="T26" s="4" t="str">
        <f t="shared" si="7"/>
        <v>🚀Core Range</v>
      </c>
    </row>
    <row r="27">
      <c r="A27" s="1" t="s">
        <v>226</v>
      </c>
      <c r="B27" s="1" t="s">
        <v>227</v>
      </c>
      <c r="C27" s="1" t="s">
        <v>71</v>
      </c>
      <c r="D27" s="1" t="s">
        <v>228</v>
      </c>
      <c r="E27" s="1" t="s">
        <v>73</v>
      </c>
      <c r="F27" s="1">
        <v>15.0</v>
      </c>
      <c r="G27" s="1">
        <v>8.0</v>
      </c>
      <c r="H27" s="1">
        <v>0.04</v>
      </c>
      <c r="I27" s="1">
        <v>55.0</v>
      </c>
      <c r="J27" s="1">
        <v>320.0</v>
      </c>
      <c r="K27" s="1">
        <v>1.1</v>
      </c>
      <c r="L27" s="1">
        <v>65.0</v>
      </c>
      <c r="M27" s="1">
        <v>14.0</v>
      </c>
      <c r="N27" s="4">
        <f t="shared" si="1"/>
        <v>11.25</v>
      </c>
      <c r="O27" s="5">
        <f t="shared" si="2"/>
        <v>20.02</v>
      </c>
      <c r="P27" s="5">
        <f t="shared" si="3"/>
        <v>63.6</v>
      </c>
      <c r="Q27" s="5">
        <f t="shared" si="4"/>
        <v>84.61538462</v>
      </c>
      <c r="R27" s="5">
        <f t="shared" si="5"/>
        <v>20.02</v>
      </c>
      <c r="S27" s="5">
        <f t="shared" si="6"/>
        <v>63.6</v>
      </c>
      <c r="T27" s="4" t="str">
        <f t="shared" si="7"/>
        <v>🚀Core Range</v>
      </c>
    </row>
    <row r="28">
      <c r="A28" s="1" t="s">
        <v>101</v>
      </c>
      <c r="B28" s="1" t="s">
        <v>102</v>
      </c>
      <c r="C28" s="1" t="s">
        <v>80</v>
      </c>
      <c r="D28" s="1" t="s">
        <v>103</v>
      </c>
      <c r="E28" s="1" t="s">
        <v>25</v>
      </c>
      <c r="F28" s="1">
        <v>140.0</v>
      </c>
      <c r="G28" s="1">
        <v>55.0</v>
      </c>
      <c r="H28" s="1">
        <v>0.02</v>
      </c>
      <c r="I28" s="1">
        <v>450.0</v>
      </c>
      <c r="J28" s="1">
        <v>95.0</v>
      </c>
      <c r="K28" s="1">
        <v>3.4</v>
      </c>
      <c r="L28" s="1">
        <v>495.0</v>
      </c>
      <c r="M28" s="1">
        <v>12.0</v>
      </c>
      <c r="N28" s="4">
        <f t="shared" si="1"/>
        <v>105</v>
      </c>
      <c r="O28" s="5">
        <f t="shared" si="2"/>
        <v>163.2</v>
      </c>
      <c r="P28" s="5">
        <f t="shared" si="3"/>
        <v>63.73333333</v>
      </c>
      <c r="Q28" s="5">
        <f t="shared" si="4"/>
        <v>90.90909091</v>
      </c>
      <c r="R28" s="5">
        <f t="shared" si="5"/>
        <v>177.225</v>
      </c>
      <c r="S28" s="5">
        <f t="shared" si="6"/>
        <v>60.61666667</v>
      </c>
      <c r="T28" s="4" t="str">
        <f t="shared" si="7"/>
        <v>🚀Core Range</v>
      </c>
    </row>
    <row r="29">
      <c r="A29" s="1" t="s">
        <v>122</v>
      </c>
      <c r="B29" s="1" t="s">
        <v>123</v>
      </c>
      <c r="C29" s="1" t="s">
        <v>15</v>
      </c>
      <c r="D29" s="1" t="s">
        <v>37</v>
      </c>
      <c r="E29" s="1" t="s">
        <v>38</v>
      </c>
      <c r="F29" s="1">
        <v>85.0</v>
      </c>
      <c r="G29" s="1">
        <v>25.0</v>
      </c>
      <c r="H29" s="1">
        <v>0.0</v>
      </c>
      <c r="I29" s="1">
        <v>245.0</v>
      </c>
      <c r="J29" s="1">
        <v>140.0</v>
      </c>
      <c r="K29" s="1">
        <v>3.9</v>
      </c>
      <c r="L29" s="1">
        <v>275.0</v>
      </c>
      <c r="M29" s="1">
        <v>5.0</v>
      </c>
      <c r="N29" s="4">
        <f t="shared" si="1"/>
        <v>63.75</v>
      </c>
      <c r="O29" s="5">
        <f t="shared" si="2"/>
        <v>88.75</v>
      </c>
      <c r="P29" s="5">
        <f t="shared" si="3"/>
        <v>63.7755102</v>
      </c>
      <c r="Q29" s="5">
        <f t="shared" si="4"/>
        <v>89.09090909</v>
      </c>
      <c r="R29" s="5">
        <f t="shared" si="5"/>
        <v>88.75</v>
      </c>
      <c r="S29" s="5">
        <f t="shared" si="6"/>
        <v>63.7755102</v>
      </c>
      <c r="T29" s="4" t="str">
        <f t="shared" si="7"/>
        <v>🚀Core Range</v>
      </c>
    </row>
    <row r="30">
      <c r="A30" s="1" t="s">
        <v>147</v>
      </c>
      <c r="B30" s="1" t="s">
        <v>148</v>
      </c>
      <c r="C30" s="1" t="s">
        <v>30</v>
      </c>
      <c r="D30" s="1" t="s">
        <v>149</v>
      </c>
      <c r="E30" s="1" t="s">
        <v>25</v>
      </c>
      <c r="F30" s="1">
        <v>180.0</v>
      </c>
      <c r="G30" s="1">
        <v>75.0</v>
      </c>
      <c r="H30" s="1">
        <v>0.02</v>
      </c>
      <c r="I30" s="1">
        <v>595.0</v>
      </c>
      <c r="J30" s="1">
        <v>78.0</v>
      </c>
      <c r="K30" s="1">
        <v>5.1</v>
      </c>
      <c r="L30" s="1">
        <v>650.0</v>
      </c>
      <c r="M30" s="1">
        <v>14.0</v>
      </c>
      <c r="N30" s="4">
        <f t="shared" si="1"/>
        <v>135</v>
      </c>
      <c r="O30" s="5">
        <f t="shared" si="2"/>
        <v>214.2</v>
      </c>
      <c r="P30" s="5">
        <f t="shared" si="3"/>
        <v>64</v>
      </c>
      <c r="Q30" s="5">
        <f t="shared" si="4"/>
        <v>91.53846154</v>
      </c>
      <c r="R30" s="5">
        <f t="shared" si="5"/>
        <v>233.325</v>
      </c>
      <c r="S30" s="5">
        <f t="shared" si="6"/>
        <v>60.78571429</v>
      </c>
      <c r="T30" s="4" t="str">
        <f t="shared" si="7"/>
        <v>🚀Core Range</v>
      </c>
    </row>
    <row r="31">
      <c r="A31" s="1" t="s">
        <v>283</v>
      </c>
      <c r="B31" s="1" t="s">
        <v>284</v>
      </c>
      <c r="C31" s="1" t="s">
        <v>15</v>
      </c>
      <c r="D31" s="1" t="s">
        <v>285</v>
      </c>
      <c r="E31" s="1" t="s">
        <v>44</v>
      </c>
      <c r="F31" s="1">
        <v>35.0</v>
      </c>
      <c r="G31" s="1">
        <v>15.0</v>
      </c>
      <c r="H31" s="1">
        <v>0.0</v>
      </c>
      <c r="I31" s="1">
        <v>115.0</v>
      </c>
      <c r="J31" s="1">
        <v>620.0</v>
      </c>
      <c r="K31" s="1">
        <v>0.7</v>
      </c>
      <c r="L31" s="1">
        <v>135.0</v>
      </c>
      <c r="M31" s="1">
        <v>4.0</v>
      </c>
      <c r="N31" s="4">
        <f t="shared" si="1"/>
        <v>26.25</v>
      </c>
      <c r="O31" s="5">
        <f t="shared" si="2"/>
        <v>41.25</v>
      </c>
      <c r="P31" s="5">
        <f t="shared" si="3"/>
        <v>64.13043478</v>
      </c>
      <c r="Q31" s="5">
        <f t="shared" si="4"/>
        <v>85.18518519</v>
      </c>
      <c r="R31" s="5">
        <f t="shared" si="5"/>
        <v>41.25</v>
      </c>
      <c r="S31" s="5">
        <f t="shared" si="6"/>
        <v>64.13043478</v>
      </c>
      <c r="T31" s="4" t="str">
        <f t="shared" si="7"/>
        <v>✅ Star</v>
      </c>
    </row>
    <row r="32">
      <c r="A32" s="1" t="s">
        <v>246</v>
      </c>
      <c r="B32" s="1" t="s">
        <v>247</v>
      </c>
      <c r="C32" s="1" t="s">
        <v>23</v>
      </c>
      <c r="D32" s="1" t="s">
        <v>248</v>
      </c>
      <c r="E32" s="1" t="s">
        <v>17</v>
      </c>
      <c r="F32" s="1">
        <v>165.0</v>
      </c>
      <c r="G32" s="1">
        <v>65.0</v>
      </c>
      <c r="H32" s="1">
        <v>0.04</v>
      </c>
      <c r="I32" s="1">
        <v>550.0</v>
      </c>
      <c r="J32" s="1">
        <v>38.0</v>
      </c>
      <c r="K32" s="1">
        <v>2.4</v>
      </c>
      <c r="L32" s="1">
        <v>595.0</v>
      </c>
      <c r="M32" s="1">
        <v>16.0</v>
      </c>
      <c r="N32" s="4">
        <f t="shared" si="1"/>
        <v>123.75</v>
      </c>
      <c r="O32" s="5">
        <f t="shared" si="2"/>
        <v>196.3</v>
      </c>
      <c r="P32" s="5">
        <f t="shared" si="3"/>
        <v>64.30909091</v>
      </c>
      <c r="Q32" s="5">
        <f t="shared" si="4"/>
        <v>92.43697479</v>
      </c>
      <c r="R32" s="5">
        <f t="shared" si="5"/>
        <v>213.2</v>
      </c>
      <c r="S32" s="5">
        <f t="shared" si="6"/>
        <v>61.23636364</v>
      </c>
      <c r="T32" s="4" t="str">
        <f t="shared" si="7"/>
        <v>🔴 Critical</v>
      </c>
    </row>
    <row r="33">
      <c r="A33" s="1" t="s">
        <v>54</v>
      </c>
      <c r="B33" s="1" t="s">
        <v>55</v>
      </c>
      <c r="C33" s="1" t="s">
        <v>20</v>
      </c>
      <c r="D33" s="1" t="s">
        <v>56</v>
      </c>
      <c r="E33" s="1" t="s">
        <v>25</v>
      </c>
      <c r="F33" s="1">
        <v>210.0</v>
      </c>
      <c r="G33" s="1">
        <v>85.0</v>
      </c>
      <c r="H33" s="1">
        <v>0.02</v>
      </c>
      <c r="I33" s="1">
        <v>695.0</v>
      </c>
      <c r="J33" s="1">
        <v>42.0</v>
      </c>
      <c r="K33" s="1">
        <v>3.1</v>
      </c>
      <c r="L33" s="1">
        <v>850.0</v>
      </c>
      <c r="M33" s="1">
        <v>16.0</v>
      </c>
      <c r="N33" s="4">
        <f t="shared" si="1"/>
        <v>157.5</v>
      </c>
      <c r="O33" s="5">
        <f t="shared" si="2"/>
        <v>247.35</v>
      </c>
      <c r="P33" s="5">
        <f t="shared" si="3"/>
        <v>64.41007194</v>
      </c>
      <c r="Q33" s="5">
        <f t="shared" si="4"/>
        <v>81.76470588</v>
      </c>
      <c r="R33" s="5">
        <f t="shared" si="5"/>
        <v>269.025</v>
      </c>
      <c r="S33" s="5">
        <f t="shared" si="6"/>
        <v>61.29136691</v>
      </c>
      <c r="T33" s="4" t="str">
        <f t="shared" si="7"/>
        <v>🔴 Critical</v>
      </c>
    </row>
    <row r="34">
      <c r="A34" s="1" t="s">
        <v>52</v>
      </c>
      <c r="B34" s="1" t="s">
        <v>53</v>
      </c>
      <c r="C34" s="1" t="s">
        <v>49</v>
      </c>
      <c r="D34" s="1" t="s">
        <v>50</v>
      </c>
      <c r="E34" s="1" t="s">
        <v>51</v>
      </c>
      <c r="F34" s="1">
        <v>65.0</v>
      </c>
      <c r="G34" s="1">
        <v>35.0</v>
      </c>
      <c r="H34" s="1">
        <v>0.04</v>
      </c>
      <c r="I34" s="1">
        <v>245.0</v>
      </c>
      <c r="J34" s="1">
        <v>130.0</v>
      </c>
      <c r="K34" s="1">
        <v>8.2</v>
      </c>
      <c r="L34" s="1">
        <v>275.0</v>
      </c>
      <c r="M34" s="1">
        <v>18.0</v>
      </c>
      <c r="N34" s="4">
        <f t="shared" si="1"/>
        <v>48.75</v>
      </c>
      <c r="O34" s="5">
        <f t="shared" si="2"/>
        <v>87.1</v>
      </c>
      <c r="P34" s="5">
        <f t="shared" si="3"/>
        <v>64.44897959</v>
      </c>
      <c r="Q34" s="5">
        <f t="shared" si="4"/>
        <v>89.09090909</v>
      </c>
      <c r="R34" s="5">
        <f t="shared" si="5"/>
        <v>87.1</v>
      </c>
      <c r="S34" s="5">
        <f t="shared" si="6"/>
        <v>64.44897959</v>
      </c>
      <c r="T34" s="4" t="str">
        <f t="shared" si="7"/>
        <v>🚀Core Range</v>
      </c>
    </row>
    <row r="35">
      <c r="A35" s="1" t="s">
        <v>241</v>
      </c>
      <c r="B35" s="1" t="s">
        <v>242</v>
      </c>
      <c r="C35" s="1" t="s">
        <v>59</v>
      </c>
      <c r="D35" s="1" t="s">
        <v>112</v>
      </c>
      <c r="E35" s="1" t="s">
        <v>25</v>
      </c>
      <c r="F35" s="1">
        <v>38.0</v>
      </c>
      <c r="G35" s="1">
        <v>15.0</v>
      </c>
      <c r="H35" s="1">
        <v>0.02</v>
      </c>
      <c r="I35" s="1">
        <v>125.0</v>
      </c>
      <c r="J35" s="1">
        <v>145.0</v>
      </c>
      <c r="K35" s="1">
        <v>1.5</v>
      </c>
      <c r="L35" s="1">
        <v>145.0</v>
      </c>
      <c r="M35" s="1">
        <v>12.0</v>
      </c>
      <c r="N35" s="4">
        <f t="shared" si="1"/>
        <v>28.5</v>
      </c>
      <c r="O35" s="5">
        <f t="shared" si="2"/>
        <v>44.37</v>
      </c>
      <c r="P35" s="5">
        <f t="shared" si="3"/>
        <v>64.504</v>
      </c>
      <c r="Q35" s="5">
        <f t="shared" si="4"/>
        <v>86.20689655</v>
      </c>
      <c r="R35" s="5">
        <f t="shared" si="5"/>
        <v>48.195</v>
      </c>
      <c r="S35" s="5">
        <f t="shared" si="6"/>
        <v>61.444</v>
      </c>
      <c r="T35" s="4" t="str">
        <f t="shared" si="7"/>
        <v>🚀Core Range</v>
      </c>
    </row>
    <row r="36">
      <c r="A36" s="1" t="s">
        <v>57</v>
      </c>
      <c r="B36" s="1" t="s">
        <v>58</v>
      </c>
      <c r="C36" s="1" t="s">
        <v>59</v>
      </c>
      <c r="D36" s="1" t="s">
        <v>60</v>
      </c>
      <c r="E36" s="1" t="s">
        <v>25</v>
      </c>
      <c r="F36" s="1">
        <v>28.0</v>
      </c>
      <c r="G36" s="1">
        <v>12.0</v>
      </c>
      <c r="H36" s="1">
        <v>0.02</v>
      </c>
      <c r="I36" s="1">
        <v>95.0</v>
      </c>
      <c r="J36" s="1">
        <v>215.0</v>
      </c>
      <c r="K36" s="1">
        <v>1.2</v>
      </c>
      <c r="L36" s="1">
        <v>110.0</v>
      </c>
      <c r="M36" s="1">
        <v>12.0</v>
      </c>
      <c r="N36" s="4">
        <f t="shared" si="1"/>
        <v>21</v>
      </c>
      <c r="O36" s="5">
        <f t="shared" si="2"/>
        <v>33.66</v>
      </c>
      <c r="P36" s="5">
        <f t="shared" si="3"/>
        <v>64.56842105</v>
      </c>
      <c r="Q36" s="5">
        <f t="shared" si="4"/>
        <v>86.36363636</v>
      </c>
      <c r="R36" s="5">
        <f t="shared" si="5"/>
        <v>36.72</v>
      </c>
      <c r="S36" s="5">
        <f t="shared" si="6"/>
        <v>61.34736842</v>
      </c>
      <c r="T36" s="4" t="str">
        <f t="shared" si="7"/>
        <v>🚀Core Range</v>
      </c>
    </row>
    <row r="37">
      <c r="A37" s="1" t="s">
        <v>257</v>
      </c>
      <c r="B37" s="1" t="s">
        <v>258</v>
      </c>
      <c r="C37" s="1" t="s">
        <v>30</v>
      </c>
      <c r="D37" s="1" t="s">
        <v>259</v>
      </c>
      <c r="E37" s="1" t="s">
        <v>25</v>
      </c>
      <c r="F37" s="1">
        <v>280.0</v>
      </c>
      <c r="G37" s="1">
        <v>85.0</v>
      </c>
      <c r="H37" s="1">
        <v>0.02</v>
      </c>
      <c r="I37" s="1">
        <v>850.0</v>
      </c>
      <c r="J37" s="1">
        <v>25.0</v>
      </c>
      <c r="K37" s="1">
        <v>4.8</v>
      </c>
      <c r="L37" s="1">
        <v>950.0</v>
      </c>
      <c r="M37" s="1">
        <v>14.0</v>
      </c>
      <c r="N37" s="4">
        <f t="shared" si="1"/>
        <v>210</v>
      </c>
      <c r="O37" s="5">
        <f t="shared" si="2"/>
        <v>300.9</v>
      </c>
      <c r="P37" s="5">
        <f t="shared" si="3"/>
        <v>64.6</v>
      </c>
      <c r="Q37" s="5">
        <f t="shared" si="4"/>
        <v>89.47368421</v>
      </c>
      <c r="R37" s="5">
        <f t="shared" si="5"/>
        <v>322.575</v>
      </c>
      <c r="S37" s="5">
        <f t="shared" si="6"/>
        <v>62.05</v>
      </c>
      <c r="T37" s="4" t="str">
        <f t="shared" si="7"/>
        <v>🔴 Critical</v>
      </c>
    </row>
    <row r="38">
      <c r="A38" s="1" t="s">
        <v>135</v>
      </c>
      <c r="B38" s="1" t="s">
        <v>136</v>
      </c>
      <c r="C38" s="1" t="s">
        <v>23</v>
      </c>
      <c r="D38" s="1" t="s">
        <v>137</v>
      </c>
      <c r="E38" s="1" t="s">
        <v>38</v>
      </c>
      <c r="F38" s="1">
        <v>240.0</v>
      </c>
      <c r="G38" s="1">
        <v>85.0</v>
      </c>
      <c r="H38" s="1">
        <v>0.0</v>
      </c>
      <c r="I38" s="1">
        <v>750.0</v>
      </c>
      <c r="J38" s="1">
        <v>18.0</v>
      </c>
      <c r="K38" s="1">
        <v>6.2</v>
      </c>
      <c r="L38" s="1">
        <v>850.0</v>
      </c>
      <c r="M38" s="1">
        <v>8.0</v>
      </c>
      <c r="N38" s="4">
        <f t="shared" si="1"/>
        <v>180</v>
      </c>
      <c r="O38" s="5">
        <f t="shared" si="2"/>
        <v>265</v>
      </c>
      <c r="P38" s="5">
        <f t="shared" si="3"/>
        <v>64.66666667</v>
      </c>
      <c r="Q38" s="5">
        <f t="shared" si="4"/>
        <v>88.23529412</v>
      </c>
      <c r="R38" s="5">
        <f t="shared" si="5"/>
        <v>265</v>
      </c>
      <c r="S38" s="5">
        <f t="shared" si="6"/>
        <v>64.66666667</v>
      </c>
      <c r="T38" s="4" t="str">
        <f t="shared" si="7"/>
        <v>🚀Core Range</v>
      </c>
    </row>
    <row r="39">
      <c r="A39" s="1" t="s">
        <v>301</v>
      </c>
      <c r="B39" s="1" t="s">
        <v>302</v>
      </c>
      <c r="C39" s="1" t="s">
        <v>30</v>
      </c>
      <c r="D39" s="1" t="s">
        <v>303</v>
      </c>
      <c r="E39" s="1" t="s">
        <v>25</v>
      </c>
      <c r="F39" s="1">
        <v>25.0</v>
      </c>
      <c r="G39" s="1">
        <v>12.0</v>
      </c>
      <c r="H39" s="1">
        <v>0.02</v>
      </c>
      <c r="I39" s="1">
        <v>89.0</v>
      </c>
      <c r="J39" s="1">
        <v>410.0</v>
      </c>
      <c r="K39" s="1">
        <v>2.2</v>
      </c>
      <c r="L39" s="1">
        <v>99.0</v>
      </c>
      <c r="M39" s="1">
        <v>10.0</v>
      </c>
      <c r="N39" s="4">
        <f t="shared" si="1"/>
        <v>18.75</v>
      </c>
      <c r="O39" s="5">
        <f t="shared" si="2"/>
        <v>31.365</v>
      </c>
      <c r="P39" s="5">
        <f t="shared" si="3"/>
        <v>64.75842697</v>
      </c>
      <c r="Q39" s="5">
        <f t="shared" si="4"/>
        <v>89.8989899</v>
      </c>
      <c r="R39" s="5">
        <f t="shared" si="5"/>
        <v>34.425</v>
      </c>
      <c r="S39" s="5">
        <f t="shared" si="6"/>
        <v>61.32022472</v>
      </c>
      <c r="T39" s="4" t="str">
        <f t="shared" si="7"/>
        <v>🚀Core Range</v>
      </c>
    </row>
    <row r="40">
      <c r="A40" s="1" t="s">
        <v>69</v>
      </c>
      <c r="B40" s="1" t="s">
        <v>70</v>
      </c>
      <c r="C40" s="1" t="s">
        <v>71</v>
      </c>
      <c r="D40" s="1" t="s">
        <v>72</v>
      </c>
      <c r="E40" s="1" t="s">
        <v>73</v>
      </c>
      <c r="F40" s="1">
        <v>32.0</v>
      </c>
      <c r="G40" s="1">
        <v>18.0</v>
      </c>
      <c r="H40" s="1">
        <v>0.04</v>
      </c>
      <c r="I40" s="1">
        <v>125.0</v>
      </c>
      <c r="J40" s="1">
        <v>180.0</v>
      </c>
      <c r="K40" s="1">
        <v>7.2</v>
      </c>
      <c r="L40" s="1">
        <v>145.0</v>
      </c>
      <c r="M40" s="1">
        <v>10.0</v>
      </c>
      <c r="N40" s="4">
        <f t="shared" si="1"/>
        <v>24</v>
      </c>
      <c r="O40" s="5">
        <f t="shared" si="2"/>
        <v>43.68</v>
      </c>
      <c r="P40" s="5">
        <f t="shared" si="3"/>
        <v>65.056</v>
      </c>
      <c r="Q40" s="5">
        <f t="shared" si="4"/>
        <v>86.20689655</v>
      </c>
      <c r="R40" s="5">
        <f t="shared" si="5"/>
        <v>43.68</v>
      </c>
      <c r="S40" s="5">
        <f t="shared" si="6"/>
        <v>65.056</v>
      </c>
      <c r="T40" s="4" t="str">
        <f t="shared" si="7"/>
        <v>🚀Core Range</v>
      </c>
    </row>
    <row r="41">
      <c r="A41" s="1" t="s">
        <v>98</v>
      </c>
      <c r="B41" s="1" t="s">
        <v>99</v>
      </c>
      <c r="C41" s="1" t="s">
        <v>15</v>
      </c>
      <c r="D41" s="1" t="s">
        <v>100</v>
      </c>
      <c r="E41" s="1" t="s">
        <v>25</v>
      </c>
      <c r="F41" s="1">
        <v>55.0</v>
      </c>
      <c r="G41" s="1">
        <v>22.0</v>
      </c>
      <c r="H41" s="1">
        <v>0.02</v>
      </c>
      <c r="I41" s="1">
        <v>185.0</v>
      </c>
      <c r="J41" s="1">
        <v>130.0</v>
      </c>
      <c r="K41" s="1">
        <v>5.6</v>
      </c>
      <c r="L41" s="1">
        <v>225.0</v>
      </c>
      <c r="M41" s="1">
        <v>10.0</v>
      </c>
      <c r="N41" s="4">
        <f t="shared" si="1"/>
        <v>41.25</v>
      </c>
      <c r="O41" s="5">
        <f t="shared" si="2"/>
        <v>64.515</v>
      </c>
      <c r="P41" s="5">
        <f t="shared" si="3"/>
        <v>65.12702703</v>
      </c>
      <c r="Q41" s="5">
        <f t="shared" si="4"/>
        <v>82.22222222</v>
      </c>
      <c r="R41" s="5">
        <f t="shared" si="5"/>
        <v>70.125</v>
      </c>
      <c r="S41" s="5">
        <f t="shared" si="6"/>
        <v>62.09459459</v>
      </c>
      <c r="T41" s="4" t="str">
        <f t="shared" si="7"/>
        <v>🚀Core Range</v>
      </c>
    </row>
    <row r="42">
      <c r="A42" s="1" t="s">
        <v>95</v>
      </c>
      <c r="B42" s="1" t="s">
        <v>96</v>
      </c>
      <c r="C42" s="1" t="s">
        <v>71</v>
      </c>
      <c r="D42" s="1" t="s">
        <v>97</v>
      </c>
      <c r="E42" s="1" t="s">
        <v>73</v>
      </c>
      <c r="F42" s="1">
        <v>85.0</v>
      </c>
      <c r="G42" s="1">
        <v>35.0</v>
      </c>
      <c r="H42" s="1">
        <v>0.04</v>
      </c>
      <c r="I42" s="1">
        <v>295.0</v>
      </c>
      <c r="J42" s="1">
        <v>85.0</v>
      </c>
      <c r="K42" s="1">
        <v>1.5</v>
      </c>
      <c r="L42" s="1">
        <v>350.0</v>
      </c>
      <c r="M42" s="1">
        <v>12.0</v>
      </c>
      <c r="N42" s="4">
        <f t="shared" si="1"/>
        <v>63.75</v>
      </c>
      <c r="O42" s="5">
        <f t="shared" si="2"/>
        <v>102.7</v>
      </c>
      <c r="P42" s="5">
        <f t="shared" si="3"/>
        <v>65.18644068</v>
      </c>
      <c r="Q42" s="5">
        <f t="shared" si="4"/>
        <v>84.28571429</v>
      </c>
      <c r="R42" s="5">
        <f t="shared" si="5"/>
        <v>102.7</v>
      </c>
      <c r="S42" s="5">
        <f t="shared" si="6"/>
        <v>65.18644068</v>
      </c>
      <c r="T42" s="4" t="str">
        <f t="shared" si="7"/>
        <v>🚀Core Range</v>
      </c>
    </row>
    <row r="43">
      <c r="A43" s="1" t="s">
        <v>116</v>
      </c>
      <c r="B43" s="1" t="s">
        <v>117</v>
      </c>
      <c r="C43" s="1" t="s">
        <v>23</v>
      </c>
      <c r="D43" s="1" t="s">
        <v>118</v>
      </c>
      <c r="E43" s="1" t="s">
        <v>73</v>
      </c>
      <c r="F43" s="1">
        <v>210.0</v>
      </c>
      <c r="G43" s="1">
        <v>75.0</v>
      </c>
      <c r="H43" s="1">
        <v>0.04</v>
      </c>
      <c r="I43" s="1">
        <v>695.0</v>
      </c>
      <c r="J43" s="1">
        <v>34.0</v>
      </c>
      <c r="K43" s="1">
        <v>4.5</v>
      </c>
      <c r="L43" s="1">
        <v>750.0</v>
      </c>
      <c r="M43" s="1">
        <v>16.0</v>
      </c>
      <c r="N43" s="4">
        <f t="shared" si="1"/>
        <v>157.5</v>
      </c>
      <c r="O43" s="5">
        <f t="shared" si="2"/>
        <v>241.8</v>
      </c>
      <c r="P43" s="5">
        <f t="shared" si="3"/>
        <v>65.20863309</v>
      </c>
      <c r="Q43" s="5">
        <f t="shared" si="4"/>
        <v>92.66666667</v>
      </c>
      <c r="R43" s="5">
        <f t="shared" si="5"/>
        <v>241.8</v>
      </c>
      <c r="S43" s="5">
        <f t="shared" si="6"/>
        <v>65.20863309</v>
      </c>
      <c r="T43" s="4" t="str">
        <f t="shared" si="7"/>
        <v>🔴 Critical</v>
      </c>
    </row>
    <row r="44">
      <c r="A44" s="1" t="s">
        <v>170</v>
      </c>
      <c r="B44" s="1" t="s">
        <v>171</v>
      </c>
      <c r="C44" s="1" t="s">
        <v>30</v>
      </c>
      <c r="D44" s="1" t="s">
        <v>37</v>
      </c>
      <c r="E44" s="1" t="s">
        <v>38</v>
      </c>
      <c r="F44" s="1">
        <v>75.0</v>
      </c>
      <c r="G44" s="1">
        <v>22.0</v>
      </c>
      <c r="H44" s="1">
        <v>0.0</v>
      </c>
      <c r="I44" s="1">
        <v>225.0</v>
      </c>
      <c r="J44" s="1">
        <v>185.0</v>
      </c>
      <c r="K44" s="1">
        <v>3.1</v>
      </c>
      <c r="L44" s="1">
        <v>250.0</v>
      </c>
      <c r="M44" s="1">
        <v>5.0</v>
      </c>
      <c r="N44" s="4">
        <f t="shared" si="1"/>
        <v>56.25</v>
      </c>
      <c r="O44" s="5">
        <f t="shared" si="2"/>
        <v>78.25</v>
      </c>
      <c r="P44" s="5">
        <f t="shared" si="3"/>
        <v>65.22222222</v>
      </c>
      <c r="Q44" s="5">
        <f t="shared" si="4"/>
        <v>90</v>
      </c>
      <c r="R44" s="5">
        <f t="shared" si="5"/>
        <v>78.25</v>
      </c>
      <c r="S44" s="5">
        <f t="shared" si="6"/>
        <v>65.22222222</v>
      </c>
      <c r="T44" s="4" t="str">
        <f t="shared" si="7"/>
        <v>🚀Core Range</v>
      </c>
    </row>
    <row r="45">
      <c r="A45" s="1" t="s">
        <v>41</v>
      </c>
      <c r="B45" s="1" t="s">
        <v>42</v>
      </c>
      <c r="C45" s="1" t="s">
        <v>20</v>
      </c>
      <c r="D45" s="1" t="s">
        <v>43</v>
      </c>
      <c r="E45" s="1" t="s">
        <v>44</v>
      </c>
      <c r="F45" s="1">
        <v>280.0</v>
      </c>
      <c r="G45" s="1">
        <v>85.0</v>
      </c>
      <c r="H45" s="1">
        <v>0.0</v>
      </c>
      <c r="I45" s="1">
        <v>850.0</v>
      </c>
      <c r="J45" s="1">
        <v>45.0</v>
      </c>
      <c r="K45" s="1">
        <v>6.5</v>
      </c>
      <c r="L45" s="1">
        <v>1100.0</v>
      </c>
      <c r="M45" s="1">
        <v>8.0</v>
      </c>
      <c r="N45" s="4">
        <f t="shared" si="1"/>
        <v>210</v>
      </c>
      <c r="O45" s="5">
        <f t="shared" si="2"/>
        <v>295</v>
      </c>
      <c r="P45" s="5">
        <f t="shared" si="3"/>
        <v>65.29411765</v>
      </c>
      <c r="Q45" s="5">
        <f t="shared" si="4"/>
        <v>77.27272727</v>
      </c>
      <c r="R45" s="5">
        <f t="shared" si="5"/>
        <v>295</v>
      </c>
      <c r="S45" s="5">
        <f t="shared" si="6"/>
        <v>65.29411765</v>
      </c>
      <c r="T45" s="4" t="str">
        <f t="shared" si="7"/>
        <v>🚀Core Range</v>
      </c>
    </row>
    <row r="46">
      <c r="A46" s="1" t="s">
        <v>260</v>
      </c>
      <c r="B46" s="1" t="s">
        <v>261</v>
      </c>
      <c r="C46" s="1" t="s">
        <v>15</v>
      </c>
      <c r="D46" s="1" t="s">
        <v>169</v>
      </c>
      <c r="E46" s="1" t="s">
        <v>73</v>
      </c>
      <c r="F46" s="1">
        <v>75.0</v>
      </c>
      <c r="G46" s="1">
        <v>25.0</v>
      </c>
      <c r="H46" s="1">
        <v>0.04</v>
      </c>
      <c r="I46" s="1">
        <v>245.0</v>
      </c>
      <c r="J46" s="1">
        <v>95.0</v>
      </c>
      <c r="K46" s="1">
        <v>3.4</v>
      </c>
      <c r="L46" s="1">
        <v>275.0</v>
      </c>
      <c r="M46" s="1">
        <v>12.0</v>
      </c>
      <c r="N46" s="4">
        <f t="shared" si="1"/>
        <v>56.25</v>
      </c>
      <c r="O46" s="5">
        <f t="shared" si="2"/>
        <v>84.5</v>
      </c>
      <c r="P46" s="5">
        <f t="shared" si="3"/>
        <v>65.51020408</v>
      </c>
      <c r="Q46" s="5">
        <f t="shared" si="4"/>
        <v>89.09090909</v>
      </c>
      <c r="R46" s="5">
        <f t="shared" si="5"/>
        <v>84.5</v>
      </c>
      <c r="S46" s="5">
        <f t="shared" si="6"/>
        <v>65.51020408</v>
      </c>
      <c r="T46" s="4" t="str">
        <f t="shared" si="7"/>
        <v>🚀Core Range</v>
      </c>
    </row>
    <row r="47">
      <c r="A47" s="1" t="s">
        <v>224</v>
      </c>
      <c r="B47" s="1" t="s">
        <v>225</v>
      </c>
      <c r="C47" s="1" t="s">
        <v>20</v>
      </c>
      <c r="D47" s="1" t="s">
        <v>115</v>
      </c>
      <c r="E47" s="1" t="s">
        <v>17</v>
      </c>
      <c r="F47" s="1">
        <v>145.0</v>
      </c>
      <c r="G47" s="1">
        <v>55.0</v>
      </c>
      <c r="H47" s="1">
        <v>0.04</v>
      </c>
      <c r="I47" s="1">
        <v>495.0</v>
      </c>
      <c r="J47" s="1">
        <v>72.0</v>
      </c>
      <c r="K47" s="1">
        <v>2.9</v>
      </c>
      <c r="L47" s="1">
        <v>550.0</v>
      </c>
      <c r="M47" s="1">
        <v>16.0</v>
      </c>
      <c r="N47" s="4">
        <f t="shared" si="1"/>
        <v>108.75</v>
      </c>
      <c r="O47" s="5">
        <f t="shared" si="2"/>
        <v>170.3</v>
      </c>
      <c r="P47" s="5">
        <f t="shared" si="3"/>
        <v>65.5959596</v>
      </c>
      <c r="Q47" s="5">
        <f t="shared" si="4"/>
        <v>90</v>
      </c>
      <c r="R47" s="5">
        <f t="shared" si="5"/>
        <v>184.6</v>
      </c>
      <c r="S47" s="5">
        <f t="shared" si="6"/>
        <v>62.70707071</v>
      </c>
      <c r="T47" s="4" t="str">
        <f t="shared" si="7"/>
        <v>🚀Core Range</v>
      </c>
    </row>
    <row r="48">
      <c r="A48" s="1" t="s">
        <v>289</v>
      </c>
      <c r="B48" s="1" t="s">
        <v>290</v>
      </c>
      <c r="C48" s="1" t="s">
        <v>49</v>
      </c>
      <c r="D48" s="1" t="s">
        <v>228</v>
      </c>
      <c r="E48" s="1" t="s">
        <v>25</v>
      </c>
      <c r="F48" s="1">
        <v>210.0</v>
      </c>
      <c r="G48" s="1">
        <v>95.0</v>
      </c>
      <c r="H48" s="1">
        <v>0.02</v>
      </c>
      <c r="I48" s="1">
        <v>750.0</v>
      </c>
      <c r="J48" s="1">
        <v>18.0</v>
      </c>
      <c r="K48" s="1">
        <v>3.8</v>
      </c>
      <c r="L48" s="1">
        <v>850.0</v>
      </c>
      <c r="M48" s="1">
        <v>14.0</v>
      </c>
      <c r="N48" s="4">
        <f t="shared" si="1"/>
        <v>157.5</v>
      </c>
      <c r="O48" s="5">
        <f t="shared" si="2"/>
        <v>257.55</v>
      </c>
      <c r="P48" s="5">
        <f t="shared" si="3"/>
        <v>65.66</v>
      </c>
      <c r="Q48" s="5">
        <f t="shared" si="4"/>
        <v>88.23529412</v>
      </c>
      <c r="R48" s="5">
        <f t="shared" si="5"/>
        <v>281.775</v>
      </c>
      <c r="S48" s="5">
        <f t="shared" si="6"/>
        <v>62.43</v>
      </c>
      <c r="T48" s="4" t="str">
        <f t="shared" si="7"/>
        <v>🔴 Critical</v>
      </c>
    </row>
    <row r="49">
      <c r="A49" s="1" t="s">
        <v>210</v>
      </c>
      <c r="B49" s="1" t="s">
        <v>211</v>
      </c>
      <c r="C49" s="1" t="s">
        <v>80</v>
      </c>
      <c r="D49" s="1" t="s">
        <v>212</v>
      </c>
      <c r="E49" s="1" t="s">
        <v>25</v>
      </c>
      <c r="F49" s="1">
        <v>22.0</v>
      </c>
      <c r="G49" s="1">
        <v>10.0</v>
      </c>
      <c r="H49" s="1">
        <v>0.02</v>
      </c>
      <c r="I49" s="1">
        <v>79.0</v>
      </c>
      <c r="J49" s="1">
        <v>230.0</v>
      </c>
      <c r="K49" s="1">
        <v>1.8</v>
      </c>
      <c r="L49" s="1">
        <v>95.0</v>
      </c>
      <c r="M49" s="1">
        <v>10.0</v>
      </c>
      <c r="N49" s="4">
        <f t="shared" si="1"/>
        <v>16.5</v>
      </c>
      <c r="O49" s="5">
        <f t="shared" si="2"/>
        <v>27.03</v>
      </c>
      <c r="P49" s="5">
        <f t="shared" si="3"/>
        <v>65.78481013</v>
      </c>
      <c r="Q49" s="5">
        <f t="shared" si="4"/>
        <v>83.15789474</v>
      </c>
      <c r="R49" s="5">
        <f t="shared" si="5"/>
        <v>29.58</v>
      </c>
      <c r="S49" s="5">
        <f t="shared" si="6"/>
        <v>62.55696203</v>
      </c>
      <c r="T49" s="4" t="str">
        <f t="shared" si="7"/>
        <v>🚀Core Range</v>
      </c>
    </row>
    <row r="50">
      <c r="A50" s="1" t="s">
        <v>181</v>
      </c>
      <c r="B50" s="1" t="s">
        <v>182</v>
      </c>
      <c r="C50" s="1" t="s">
        <v>23</v>
      </c>
      <c r="D50" s="1" t="s">
        <v>16</v>
      </c>
      <c r="E50" s="1" t="s">
        <v>17</v>
      </c>
      <c r="F50" s="1">
        <v>185.0</v>
      </c>
      <c r="G50" s="1">
        <v>75.0</v>
      </c>
      <c r="H50" s="1">
        <v>0.04</v>
      </c>
      <c r="I50" s="1">
        <v>650.0</v>
      </c>
      <c r="J50" s="1">
        <v>42.0</v>
      </c>
      <c r="K50" s="1">
        <v>2.8</v>
      </c>
      <c r="L50" s="1">
        <v>725.0</v>
      </c>
      <c r="M50" s="1">
        <v>14.0</v>
      </c>
      <c r="N50" s="4">
        <f t="shared" si="1"/>
        <v>138.75</v>
      </c>
      <c r="O50" s="5">
        <f t="shared" si="2"/>
        <v>222.3</v>
      </c>
      <c r="P50" s="5">
        <f t="shared" si="3"/>
        <v>65.8</v>
      </c>
      <c r="Q50" s="5">
        <f t="shared" si="4"/>
        <v>89.65517241</v>
      </c>
      <c r="R50" s="5">
        <f t="shared" si="5"/>
        <v>241.8</v>
      </c>
      <c r="S50" s="5">
        <f t="shared" si="6"/>
        <v>62.8</v>
      </c>
      <c r="T50" s="4" t="str">
        <f t="shared" si="7"/>
        <v>🔴 Critical</v>
      </c>
    </row>
    <row r="51">
      <c r="A51" s="1" t="s">
        <v>107</v>
      </c>
      <c r="B51" s="1" t="s">
        <v>108</v>
      </c>
      <c r="C51" s="1" t="s">
        <v>15</v>
      </c>
      <c r="D51" s="1" t="s">
        <v>109</v>
      </c>
      <c r="E51" s="1" t="s">
        <v>17</v>
      </c>
      <c r="F51" s="1">
        <v>52.0</v>
      </c>
      <c r="G51" s="1">
        <v>18.0</v>
      </c>
      <c r="H51" s="1">
        <v>0.04</v>
      </c>
      <c r="I51" s="1">
        <v>175.0</v>
      </c>
      <c r="J51" s="1">
        <v>480.0</v>
      </c>
      <c r="K51" s="1">
        <v>2.1</v>
      </c>
      <c r="L51" s="1">
        <v>195.0</v>
      </c>
      <c r="M51" s="1">
        <v>16.0</v>
      </c>
      <c r="N51" s="4">
        <f t="shared" si="1"/>
        <v>39</v>
      </c>
      <c r="O51" s="5">
        <f t="shared" si="2"/>
        <v>59.28</v>
      </c>
      <c r="P51" s="5">
        <f t="shared" si="3"/>
        <v>66.12571429</v>
      </c>
      <c r="Q51" s="5">
        <f t="shared" si="4"/>
        <v>89.74358974</v>
      </c>
      <c r="R51" s="5">
        <f t="shared" si="5"/>
        <v>63.96</v>
      </c>
      <c r="S51" s="5">
        <f t="shared" si="6"/>
        <v>63.45142857</v>
      </c>
      <c r="T51" s="4" t="str">
        <f t="shared" si="7"/>
        <v>🚀Core Range</v>
      </c>
    </row>
    <row r="52">
      <c r="A52" s="1" t="s">
        <v>189</v>
      </c>
      <c r="B52" s="1" t="s">
        <v>190</v>
      </c>
      <c r="C52" s="1" t="s">
        <v>80</v>
      </c>
      <c r="D52" s="1" t="s">
        <v>103</v>
      </c>
      <c r="E52" s="1" t="s">
        <v>25</v>
      </c>
      <c r="F52" s="1">
        <v>15.0</v>
      </c>
      <c r="G52" s="1">
        <v>5.0</v>
      </c>
      <c r="H52" s="1">
        <v>0.02</v>
      </c>
      <c r="I52" s="1">
        <v>49.0</v>
      </c>
      <c r="J52" s="1">
        <v>380.0</v>
      </c>
      <c r="K52" s="1">
        <v>0.8</v>
      </c>
      <c r="L52" s="1">
        <v>59.0</v>
      </c>
      <c r="M52" s="1">
        <v>10.0</v>
      </c>
      <c r="N52" s="4">
        <f t="shared" si="1"/>
        <v>11.25</v>
      </c>
      <c r="O52" s="5">
        <f t="shared" si="2"/>
        <v>16.575</v>
      </c>
      <c r="P52" s="5">
        <f t="shared" si="3"/>
        <v>66.17346939</v>
      </c>
      <c r="Q52" s="5">
        <f t="shared" si="4"/>
        <v>83.05084746</v>
      </c>
      <c r="R52" s="5">
        <f t="shared" si="5"/>
        <v>17.85</v>
      </c>
      <c r="S52" s="5">
        <f t="shared" si="6"/>
        <v>63.57142857</v>
      </c>
      <c r="T52" s="4" t="str">
        <f t="shared" si="7"/>
        <v>🚀Core Range</v>
      </c>
    </row>
    <row r="53">
      <c r="A53" s="1" t="s">
        <v>130</v>
      </c>
      <c r="B53" s="1" t="s">
        <v>131</v>
      </c>
      <c r="C53" s="1" t="s">
        <v>59</v>
      </c>
      <c r="D53" s="1" t="s">
        <v>132</v>
      </c>
      <c r="E53" s="1" t="s">
        <v>25</v>
      </c>
      <c r="F53" s="1">
        <v>24.0</v>
      </c>
      <c r="G53" s="1">
        <v>10.0</v>
      </c>
      <c r="H53" s="1">
        <v>0.02</v>
      </c>
      <c r="I53" s="1">
        <v>85.0</v>
      </c>
      <c r="J53" s="1">
        <v>195.0</v>
      </c>
      <c r="K53" s="1">
        <v>1.1</v>
      </c>
      <c r="L53" s="1">
        <v>95.0</v>
      </c>
      <c r="M53" s="1">
        <v>10.0</v>
      </c>
      <c r="N53" s="4">
        <f t="shared" si="1"/>
        <v>18</v>
      </c>
      <c r="O53" s="5">
        <f t="shared" si="2"/>
        <v>28.56</v>
      </c>
      <c r="P53" s="5">
        <f t="shared" si="3"/>
        <v>66.4</v>
      </c>
      <c r="Q53" s="5">
        <f t="shared" si="4"/>
        <v>89.47368421</v>
      </c>
      <c r="R53" s="5">
        <f t="shared" si="5"/>
        <v>31.11</v>
      </c>
      <c r="S53" s="5">
        <f t="shared" si="6"/>
        <v>63.4</v>
      </c>
      <c r="T53" s="4" t="str">
        <f t="shared" si="7"/>
        <v>🚀Core Range</v>
      </c>
    </row>
    <row r="54">
      <c r="A54" s="1" t="s">
        <v>113</v>
      </c>
      <c r="B54" s="1" t="s">
        <v>114</v>
      </c>
      <c r="C54" s="1" t="s">
        <v>49</v>
      </c>
      <c r="D54" s="1" t="s">
        <v>115</v>
      </c>
      <c r="E54" s="1" t="s">
        <v>17</v>
      </c>
      <c r="F54" s="1">
        <v>110.0</v>
      </c>
      <c r="G54" s="1">
        <v>45.0</v>
      </c>
      <c r="H54" s="1">
        <v>0.04</v>
      </c>
      <c r="I54" s="1">
        <v>395.0</v>
      </c>
      <c r="J54" s="1">
        <v>62.0</v>
      </c>
      <c r="K54" s="1">
        <v>2.7</v>
      </c>
      <c r="L54" s="1">
        <v>450.0</v>
      </c>
      <c r="M54" s="1">
        <v>14.0</v>
      </c>
      <c r="N54" s="4">
        <f t="shared" si="1"/>
        <v>82.5</v>
      </c>
      <c r="O54" s="5">
        <f t="shared" si="2"/>
        <v>132.6</v>
      </c>
      <c r="P54" s="5">
        <f t="shared" si="3"/>
        <v>66.43037975</v>
      </c>
      <c r="Q54" s="5">
        <f t="shared" si="4"/>
        <v>87.77777778</v>
      </c>
      <c r="R54" s="5">
        <f t="shared" si="5"/>
        <v>144.3</v>
      </c>
      <c r="S54" s="5">
        <f t="shared" si="6"/>
        <v>63.46835443</v>
      </c>
      <c r="T54" s="4" t="str">
        <f t="shared" si="7"/>
        <v>🚀Core Range</v>
      </c>
    </row>
    <row r="55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17</v>
      </c>
      <c r="F55" s="1">
        <v>110.0</v>
      </c>
      <c r="G55" s="1">
        <v>45.0</v>
      </c>
      <c r="H55" s="1">
        <v>0.04</v>
      </c>
      <c r="I55" s="1">
        <v>395.0</v>
      </c>
      <c r="J55" s="1">
        <v>145.0</v>
      </c>
      <c r="K55" s="1">
        <v>2.1</v>
      </c>
      <c r="L55" s="1">
        <v>420.0</v>
      </c>
      <c r="M55" s="1">
        <v>14.0</v>
      </c>
      <c r="N55" s="4">
        <f t="shared" si="1"/>
        <v>82.5</v>
      </c>
      <c r="O55" s="5">
        <f t="shared" si="2"/>
        <v>132.6</v>
      </c>
      <c r="P55" s="5">
        <f t="shared" si="3"/>
        <v>66.43037975</v>
      </c>
      <c r="Q55" s="5">
        <f t="shared" si="4"/>
        <v>94.04761905</v>
      </c>
      <c r="R55" s="5">
        <f>if(or(E55="vietnam",E55="china"),(N55+(G55*1.25))*(1+H55))</f>
        <v>144.3</v>
      </c>
      <c r="S55" s="5">
        <f t="shared" si="6"/>
        <v>63.46835443</v>
      </c>
      <c r="T55" s="4" t="str">
        <f t="shared" si="7"/>
        <v>🚀Core Range</v>
      </c>
    </row>
    <row r="56">
      <c r="A56" s="1" t="s">
        <v>138</v>
      </c>
      <c r="B56" s="1" t="s">
        <v>139</v>
      </c>
      <c r="C56" s="1" t="s">
        <v>71</v>
      </c>
      <c r="D56" s="1" t="s">
        <v>140</v>
      </c>
      <c r="E56" s="1" t="s">
        <v>77</v>
      </c>
      <c r="F56" s="1">
        <v>35.0</v>
      </c>
      <c r="G56" s="1">
        <v>12.0</v>
      </c>
      <c r="H56" s="1">
        <v>0.0</v>
      </c>
      <c r="I56" s="1">
        <v>115.0</v>
      </c>
      <c r="J56" s="1">
        <v>75.0</v>
      </c>
      <c r="K56" s="1">
        <v>8.5</v>
      </c>
      <c r="L56" s="1">
        <v>145.0</v>
      </c>
      <c r="M56" s="1">
        <v>4.0</v>
      </c>
      <c r="N56" s="4">
        <f t="shared" si="1"/>
        <v>26.25</v>
      </c>
      <c r="O56" s="5">
        <f t="shared" si="2"/>
        <v>38.25</v>
      </c>
      <c r="P56" s="5">
        <f t="shared" si="3"/>
        <v>66.73913043</v>
      </c>
      <c r="Q56" s="5">
        <f t="shared" si="4"/>
        <v>79.31034483</v>
      </c>
      <c r="R56" s="5">
        <f t="shared" ref="R56:R101" si="8">if(or(E56="vietnam",E56="china"),(N56+(G56*1.25))*(1+H56),O56)</f>
        <v>38.25</v>
      </c>
      <c r="S56" s="5">
        <f t="shared" si="6"/>
        <v>66.73913043</v>
      </c>
      <c r="T56" s="4" t="str">
        <f t="shared" si="7"/>
        <v>✅ Star</v>
      </c>
    </row>
    <row r="57">
      <c r="A57" s="1" t="s">
        <v>274</v>
      </c>
      <c r="B57" s="1" t="s">
        <v>275</v>
      </c>
      <c r="C57" s="1" t="s">
        <v>15</v>
      </c>
      <c r="D57" s="1" t="s">
        <v>16</v>
      </c>
      <c r="E57" s="1" t="s">
        <v>38</v>
      </c>
      <c r="F57" s="1">
        <v>320.0</v>
      </c>
      <c r="G57" s="1">
        <v>75.0</v>
      </c>
      <c r="H57" s="1">
        <v>0.0</v>
      </c>
      <c r="I57" s="1">
        <v>950.0</v>
      </c>
      <c r="J57" s="1">
        <v>22.0</v>
      </c>
      <c r="K57" s="1">
        <v>1.5</v>
      </c>
      <c r="L57" s="1">
        <v>1050.0</v>
      </c>
      <c r="M57" s="1">
        <v>9.0</v>
      </c>
      <c r="N57" s="4">
        <f t="shared" si="1"/>
        <v>240</v>
      </c>
      <c r="O57" s="5">
        <f t="shared" si="2"/>
        <v>315</v>
      </c>
      <c r="P57" s="5">
        <f t="shared" si="3"/>
        <v>66.84210526</v>
      </c>
      <c r="Q57" s="5">
        <f t="shared" si="4"/>
        <v>90.47619048</v>
      </c>
      <c r="R57" s="5">
        <f t="shared" si="8"/>
        <v>315</v>
      </c>
      <c r="S57" s="5">
        <f t="shared" si="6"/>
        <v>66.84210526</v>
      </c>
      <c r="T57" s="4" t="str">
        <f t="shared" si="7"/>
        <v>🚀Core Range</v>
      </c>
    </row>
    <row r="58">
      <c r="A58" s="1" t="s">
        <v>191</v>
      </c>
      <c r="B58" s="1" t="s">
        <v>192</v>
      </c>
      <c r="C58" s="1" t="s">
        <v>30</v>
      </c>
      <c r="D58" s="1" t="s">
        <v>193</v>
      </c>
      <c r="E58" s="1" t="s">
        <v>38</v>
      </c>
      <c r="F58" s="1">
        <v>350.0</v>
      </c>
      <c r="G58" s="1">
        <v>85.0</v>
      </c>
      <c r="H58" s="1">
        <v>0.0</v>
      </c>
      <c r="I58" s="1">
        <v>1050.0</v>
      </c>
      <c r="J58" s="1">
        <v>45.0</v>
      </c>
      <c r="K58" s="1">
        <v>3.8</v>
      </c>
      <c r="L58" s="1">
        <v>1200.0</v>
      </c>
      <c r="M58" s="1">
        <v>8.0</v>
      </c>
      <c r="N58" s="4">
        <f t="shared" si="1"/>
        <v>262.5</v>
      </c>
      <c r="O58" s="5">
        <f t="shared" si="2"/>
        <v>347.5</v>
      </c>
      <c r="P58" s="5">
        <f t="shared" si="3"/>
        <v>66.9047619</v>
      </c>
      <c r="Q58" s="5">
        <f t="shared" si="4"/>
        <v>87.5</v>
      </c>
      <c r="R58" s="5">
        <f t="shared" si="8"/>
        <v>347.5</v>
      </c>
      <c r="S58" s="5">
        <f t="shared" si="6"/>
        <v>66.9047619</v>
      </c>
      <c r="T58" s="4" t="str">
        <f t="shared" si="7"/>
        <v>🚀Core Range</v>
      </c>
    </row>
    <row r="59">
      <c r="A59" s="1" t="s">
        <v>186</v>
      </c>
      <c r="B59" s="1" t="s">
        <v>187</v>
      </c>
      <c r="C59" s="1" t="s">
        <v>15</v>
      </c>
      <c r="D59" s="1" t="s">
        <v>188</v>
      </c>
      <c r="E59" s="1" t="s">
        <v>32</v>
      </c>
      <c r="F59" s="1">
        <v>110.0</v>
      </c>
      <c r="G59" s="1">
        <v>25.0</v>
      </c>
      <c r="H59" s="1">
        <v>0.0</v>
      </c>
      <c r="I59" s="1">
        <v>325.0</v>
      </c>
      <c r="J59" s="1">
        <v>75.0</v>
      </c>
      <c r="K59" s="1">
        <v>1.2</v>
      </c>
      <c r="L59" s="1">
        <v>375.0</v>
      </c>
      <c r="M59" s="1">
        <v>4.0</v>
      </c>
      <c r="N59" s="4">
        <f t="shared" si="1"/>
        <v>82.5</v>
      </c>
      <c r="O59" s="5">
        <f t="shared" si="2"/>
        <v>107.5</v>
      </c>
      <c r="P59" s="5">
        <f t="shared" si="3"/>
        <v>66.92307692</v>
      </c>
      <c r="Q59" s="5">
        <f t="shared" si="4"/>
        <v>86.66666667</v>
      </c>
      <c r="R59" s="5">
        <f t="shared" si="8"/>
        <v>107.5</v>
      </c>
      <c r="S59" s="5">
        <f t="shared" si="6"/>
        <v>66.92307692</v>
      </c>
      <c r="T59" s="4" t="str">
        <f t="shared" si="7"/>
        <v>✅ Star</v>
      </c>
    </row>
    <row r="60">
      <c r="A60" s="1" t="s">
        <v>45</v>
      </c>
      <c r="B60" s="1" t="s">
        <v>46</v>
      </c>
      <c r="C60" s="1" t="s">
        <v>20</v>
      </c>
      <c r="D60" s="1" t="s">
        <v>43</v>
      </c>
      <c r="E60" s="1" t="s">
        <v>44</v>
      </c>
      <c r="F60" s="1">
        <v>120.0</v>
      </c>
      <c r="G60" s="1">
        <v>40.0</v>
      </c>
      <c r="H60" s="1">
        <v>0.0</v>
      </c>
      <c r="I60" s="1">
        <v>395.0</v>
      </c>
      <c r="J60" s="1">
        <v>72.0</v>
      </c>
      <c r="K60" s="1">
        <v>5.2</v>
      </c>
      <c r="L60" s="1">
        <v>450.0</v>
      </c>
      <c r="M60" s="1">
        <v>8.0</v>
      </c>
      <c r="N60" s="4">
        <f t="shared" si="1"/>
        <v>90</v>
      </c>
      <c r="O60" s="5">
        <f t="shared" si="2"/>
        <v>130</v>
      </c>
      <c r="P60" s="5">
        <f t="shared" si="3"/>
        <v>67.08860759</v>
      </c>
      <c r="Q60" s="5">
        <f t="shared" si="4"/>
        <v>87.77777778</v>
      </c>
      <c r="R60" s="5">
        <f t="shared" si="8"/>
        <v>130</v>
      </c>
      <c r="S60" s="5">
        <f t="shared" si="6"/>
        <v>67.08860759</v>
      </c>
      <c r="T60" s="4" t="str">
        <f t="shared" si="7"/>
        <v>🚀Core Range</v>
      </c>
    </row>
    <row r="61">
      <c r="A61" s="1" t="s">
        <v>110</v>
      </c>
      <c r="B61" s="1" t="s">
        <v>111</v>
      </c>
      <c r="C61" s="1" t="s">
        <v>59</v>
      </c>
      <c r="D61" s="1" t="s">
        <v>112</v>
      </c>
      <c r="E61" s="1" t="s">
        <v>25</v>
      </c>
      <c r="F61" s="1">
        <v>42.0</v>
      </c>
      <c r="G61" s="1">
        <v>15.0</v>
      </c>
      <c r="H61" s="1">
        <v>0.02</v>
      </c>
      <c r="I61" s="1">
        <v>145.0</v>
      </c>
      <c r="J61" s="1">
        <v>88.0</v>
      </c>
      <c r="K61" s="1">
        <v>1.9</v>
      </c>
      <c r="L61" s="1">
        <v>165.0</v>
      </c>
      <c r="M61" s="1">
        <v>12.0</v>
      </c>
      <c r="N61" s="4">
        <f t="shared" si="1"/>
        <v>31.5</v>
      </c>
      <c r="O61" s="5">
        <f t="shared" si="2"/>
        <v>47.43</v>
      </c>
      <c r="P61" s="5">
        <f t="shared" si="3"/>
        <v>67.28965517</v>
      </c>
      <c r="Q61" s="5">
        <f t="shared" si="4"/>
        <v>87.87878788</v>
      </c>
      <c r="R61" s="5">
        <f t="shared" si="8"/>
        <v>51.255</v>
      </c>
      <c r="S61" s="5">
        <f t="shared" si="6"/>
        <v>64.65172414</v>
      </c>
      <c r="T61" s="4" t="str">
        <f t="shared" si="7"/>
        <v>🚀Core Range</v>
      </c>
    </row>
    <row r="62">
      <c r="A62" s="1" t="s">
        <v>299</v>
      </c>
      <c r="B62" s="1" t="s">
        <v>300</v>
      </c>
      <c r="C62" s="1" t="s">
        <v>80</v>
      </c>
      <c r="D62" s="1" t="s">
        <v>146</v>
      </c>
      <c r="E62" s="1" t="s">
        <v>32</v>
      </c>
      <c r="F62" s="1">
        <v>65.0</v>
      </c>
      <c r="G62" s="1">
        <v>15.0</v>
      </c>
      <c r="H62" s="1">
        <v>0.0</v>
      </c>
      <c r="I62" s="1">
        <v>195.0</v>
      </c>
      <c r="J62" s="1">
        <v>88.0</v>
      </c>
      <c r="K62" s="1">
        <v>0.9</v>
      </c>
      <c r="L62" s="1">
        <v>225.0</v>
      </c>
      <c r="M62" s="1">
        <v>3.0</v>
      </c>
      <c r="N62" s="4">
        <f t="shared" si="1"/>
        <v>48.75</v>
      </c>
      <c r="O62" s="5">
        <f t="shared" si="2"/>
        <v>63.75</v>
      </c>
      <c r="P62" s="5">
        <f t="shared" si="3"/>
        <v>67.30769231</v>
      </c>
      <c r="Q62" s="5">
        <f t="shared" si="4"/>
        <v>86.66666667</v>
      </c>
      <c r="R62" s="5">
        <f t="shared" si="8"/>
        <v>63.75</v>
      </c>
      <c r="S62" s="5">
        <f t="shared" si="6"/>
        <v>67.30769231</v>
      </c>
      <c r="T62" s="4" t="str">
        <f t="shared" si="7"/>
        <v>✅ Star</v>
      </c>
    </row>
    <row r="63">
      <c r="A63" s="1" t="s">
        <v>196</v>
      </c>
      <c r="B63" s="1" t="s">
        <v>197</v>
      </c>
      <c r="C63" s="1" t="s">
        <v>59</v>
      </c>
      <c r="D63" s="1" t="s">
        <v>198</v>
      </c>
      <c r="E63" s="1" t="s">
        <v>17</v>
      </c>
      <c r="F63" s="1">
        <v>8.0</v>
      </c>
      <c r="G63" s="1">
        <v>5.0</v>
      </c>
      <c r="H63" s="1">
        <v>0.04</v>
      </c>
      <c r="I63" s="1">
        <v>35.0</v>
      </c>
      <c r="J63" s="1">
        <v>890.0</v>
      </c>
      <c r="K63" s="1">
        <v>6.5</v>
      </c>
      <c r="L63" s="1">
        <v>45.0</v>
      </c>
      <c r="M63" s="1">
        <v>14.0</v>
      </c>
      <c r="N63" s="4">
        <f t="shared" si="1"/>
        <v>6</v>
      </c>
      <c r="O63" s="5">
        <f t="shared" si="2"/>
        <v>11.44</v>
      </c>
      <c r="P63" s="5">
        <f t="shared" si="3"/>
        <v>67.31428571</v>
      </c>
      <c r="Q63" s="5">
        <f t="shared" si="4"/>
        <v>77.77777778</v>
      </c>
      <c r="R63" s="5">
        <f t="shared" si="8"/>
        <v>12.74</v>
      </c>
      <c r="S63" s="5">
        <f t="shared" si="6"/>
        <v>63.6</v>
      </c>
      <c r="T63" s="4" t="str">
        <f t="shared" si="7"/>
        <v>🚀Core Range</v>
      </c>
    </row>
    <row r="64">
      <c r="A64" s="1" t="s">
        <v>47</v>
      </c>
      <c r="B64" s="1" t="s">
        <v>48</v>
      </c>
      <c r="C64" s="1" t="s">
        <v>49</v>
      </c>
      <c r="D64" s="1" t="s">
        <v>50</v>
      </c>
      <c r="E64" s="1" t="s">
        <v>51</v>
      </c>
      <c r="F64" s="1">
        <v>160.0</v>
      </c>
      <c r="G64" s="1">
        <v>95.0</v>
      </c>
      <c r="H64" s="1">
        <v>0.04</v>
      </c>
      <c r="I64" s="1">
        <v>695.0</v>
      </c>
      <c r="J64" s="1">
        <v>55.0</v>
      </c>
      <c r="K64" s="1">
        <v>9.5</v>
      </c>
      <c r="L64" s="1">
        <v>750.0</v>
      </c>
      <c r="M64" s="1">
        <v>18.0</v>
      </c>
      <c r="N64" s="4">
        <f t="shared" si="1"/>
        <v>120</v>
      </c>
      <c r="O64" s="5">
        <f t="shared" si="2"/>
        <v>223.6</v>
      </c>
      <c r="P64" s="5">
        <f t="shared" si="3"/>
        <v>67.82733813</v>
      </c>
      <c r="Q64" s="5">
        <f t="shared" si="4"/>
        <v>92.66666667</v>
      </c>
      <c r="R64" s="5">
        <f t="shared" si="8"/>
        <v>223.6</v>
      </c>
      <c r="S64" s="5">
        <f t="shared" si="6"/>
        <v>67.82733813</v>
      </c>
      <c r="T64" s="4" t="str">
        <f t="shared" si="7"/>
        <v>🚀Core Range</v>
      </c>
    </row>
    <row r="65">
      <c r="A65" s="1" t="s">
        <v>144</v>
      </c>
      <c r="B65" s="1" t="s">
        <v>145</v>
      </c>
      <c r="C65" s="1" t="s">
        <v>80</v>
      </c>
      <c r="D65" s="1" t="s">
        <v>146</v>
      </c>
      <c r="E65" s="1" t="s">
        <v>32</v>
      </c>
      <c r="F65" s="1">
        <v>85.0</v>
      </c>
      <c r="G65" s="1">
        <v>15.0</v>
      </c>
      <c r="H65" s="1">
        <v>0.0</v>
      </c>
      <c r="I65" s="1">
        <v>245.0</v>
      </c>
      <c r="J65" s="1">
        <v>45.0</v>
      </c>
      <c r="K65" s="1">
        <v>1.2</v>
      </c>
      <c r="L65" s="1">
        <v>275.0</v>
      </c>
      <c r="M65" s="1">
        <v>3.0</v>
      </c>
      <c r="N65" s="4">
        <f t="shared" si="1"/>
        <v>63.75</v>
      </c>
      <c r="O65" s="5">
        <f t="shared" si="2"/>
        <v>78.75</v>
      </c>
      <c r="P65" s="5">
        <f t="shared" si="3"/>
        <v>67.85714286</v>
      </c>
      <c r="Q65" s="5">
        <f t="shared" si="4"/>
        <v>89.09090909</v>
      </c>
      <c r="R65" s="5">
        <f t="shared" si="8"/>
        <v>78.75</v>
      </c>
      <c r="S65" s="5">
        <f t="shared" si="6"/>
        <v>67.85714286</v>
      </c>
      <c r="T65" s="4" t="str">
        <f t="shared" si="7"/>
        <v>🚀Core Range</v>
      </c>
    </row>
    <row r="66">
      <c r="A66" s="1" t="s">
        <v>39</v>
      </c>
      <c r="B66" s="1" t="s">
        <v>40</v>
      </c>
      <c r="C66" s="1" t="s">
        <v>15</v>
      </c>
      <c r="D66" s="1" t="s">
        <v>37</v>
      </c>
      <c r="E66" s="1" t="s">
        <v>38</v>
      </c>
      <c r="F66" s="1">
        <v>55.0</v>
      </c>
      <c r="G66" s="1">
        <v>15.0</v>
      </c>
      <c r="H66" s="1">
        <v>0.0</v>
      </c>
      <c r="I66" s="1">
        <v>175.0</v>
      </c>
      <c r="J66" s="1">
        <v>240.0</v>
      </c>
      <c r="K66" s="1">
        <v>4.8</v>
      </c>
      <c r="L66" s="1">
        <v>195.0</v>
      </c>
      <c r="M66" s="1">
        <v>3.0</v>
      </c>
      <c r="N66" s="4">
        <f t="shared" si="1"/>
        <v>41.25</v>
      </c>
      <c r="O66" s="5">
        <f t="shared" si="2"/>
        <v>56.25</v>
      </c>
      <c r="P66" s="5">
        <f t="shared" si="3"/>
        <v>67.85714286</v>
      </c>
      <c r="Q66" s="5">
        <f t="shared" si="4"/>
        <v>89.74358974</v>
      </c>
      <c r="R66" s="5">
        <f t="shared" si="8"/>
        <v>56.25</v>
      </c>
      <c r="S66" s="5">
        <f t="shared" si="6"/>
        <v>67.85714286</v>
      </c>
      <c r="T66" s="4" t="str">
        <f t="shared" si="7"/>
        <v>✅ Star</v>
      </c>
    </row>
    <row r="67">
      <c r="A67" s="1" t="s">
        <v>90</v>
      </c>
      <c r="B67" s="1" t="s">
        <v>91</v>
      </c>
      <c r="C67" s="1" t="s">
        <v>30</v>
      </c>
      <c r="D67" s="1" t="s">
        <v>92</v>
      </c>
      <c r="E67" s="1" t="s">
        <v>38</v>
      </c>
      <c r="F67" s="1">
        <v>320.0</v>
      </c>
      <c r="G67" s="1">
        <v>65.0</v>
      </c>
      <c r="H67" s="1">
        <v>0.0</v>
      </c>
      <c r="I67" s="1">
        <v>950.0</v>
      </c>
      <c r="J67" s="1">
        <v>22.0</v>
      </c>
      <c r="K67" s="1">
        <v>2.8</v>
      </c>
      <c r="L67" s="1">
        <v>1050.0</v>
      </c>
      <c r="M67" s="1">
        <v>6.0</v>
      </c>
      <c r="N67" s="4">
        <f t="shared" si="1"/>
        <v>240</v>
      </c>
      <c r="O67" s="5">
        <f t="shared" si="2"/>
        <v>305</v>
      </c>
      <c r="P67" s="5">
        <f t="shared" si="3"/>
        <v>67.89473684</v>
      </c>
      <c r="Q67" s="5">
        <f t="shared" si="4"/>
        <v>90.47619048</v>
      </c>
      <c r="R67" s="5">
        <f t="shared" si="8"/>
        <v>305</v>
      </c>
      <c r="S67" s="5">
        <f t="shared" si="6"/>
        <v>67.89473684</v>
      </c>
      <c r="T67" s="4" t="str">
        <f t="shared" si="7"/>
        <v>🚀Core Range</v>
      </c>
    </row>
    <row r="68">
      <c r="A68" s="1" t="s">
        <v>61</v>
      </c>
      <c r="B68" s="1" t="s">
        <v>62</v>
      </c>
      <c r="C68" s="1" t="s">
        <v>49</v>
      </c>
      <c r="D68" s="1" t="s">
        <v>37</v>
      </c>
      <c r="E68" s="1" t="s">
        <v>38</v>
      </c>
      <c r="F68" s="1">
        <v>290.0</v>
      </c>
      <c r="G68" s="1">
        <v>55.0</v>
      </c>
      <c r="H68" s="1">
        <v>0.0</v>
      </c>
      <c r="I68" s="1">
        <v>850.0</v>
      </c>
      <c r="J68" s="1">
        <v>38.0</v>
      </c>
      <c r="K68" s="1">
        <v>4.2</v>
      </c>
      <c r="L68" s="1">
        <v>950.0</v>
      </c>
      <c r="M68" s="1">
        <v>6.0</v>
      </c>
      <c r="N68" s="4">
        <f t="shared" si="1"/>
        <v>217.5</v>
      </c>
      <c r="O68" s="5">
        <f t="shared" si="2"/>
        <v>272.5</v>
      </c>
      <c r="P68" s="5">
        <f t="shared" si="3"/>
        <v>67.94117647</v>
      </c>
      <c r="Q68" s="5">
        <f t="shared" si="4"/>
        <v>89.47368421</v>
      </c>
      <c r="R68" s="5">
        <f t="shared" si="8"/>
        <v>272.5</v>
      </c>
      <c r="S68" s="5">
        <f t="shared" si="6"/>
        <v>67.94117647</v>
      </c>
      <c r="T68" s="4" t="str">
        <f t="shared" si="7"/>
        <v>🚀Core Range</v>
      </c>
    </row>
    <row r="69">
      <c r="A69" s="1" t="s">
        <v>286</v>
      </c>
      <c r="B69" s="1" t="s">
        <v>287</v>
      </c>
      <c r="C69" s="1" t="s">
        <v>59</v>
      </c>
      <c r="D69" s="1" t="s">
        <v>288</v>
      </c>
      <c r="E69" s="1" t="s">
        <v>25</v>
      </c>
      <c r="F69" s="1">
        <v>45.0</v>
      </c>
      <c r="G69" s="1">
        <v>18.0</v>
      </c>
      <c r="H69" s="1">
        <v>0.02</v>
      </c>
      <c r="I69" s="1">
        <v>165.0</v>
      </c>
      <c r="J69" s="1">
        <v>95.0</v>
      </c>
      <c r="K69" s="1">
        <v>5.2</v>
      </c>
      <c r="L69" s="1">
        <v>195.0</v>
      </c>
      <c r="M69" s="1">
        <v>10.0</v>
      </c>
      <c r="N69" s="4">
        <f t="shared" si="1"/>
        <v>33.75</v>
      </c>
      <c r="O69" s="5">
        <f t="shared" si="2"/>
        <v>52.785</v>
      </c>
      <c r="P69" s="5">
        <f t="shared" si="3"/>
        <v>68.00909091</v>
      </c>
      <c r="Q69" s="5">
        <f t="shared" si="4"/>
        <v>84.61538462</v>
      </c>
      <c r="R69" s="5">
        <f t="shared" si="8"/>
        <v>57.375</v>
      </c>
      <c r="S69" s="5">
        <f t="shared" si="6"/>
        <v>65.22727273</v>
      </c>
      <c r="T69" s="4" t="str">
        <f t="shared" si="7"/>
        <v>🚀Core Range</v>
      </c>
    </row>
    <row r="70">
      <c r="A70" s="1" t="s">
        <v>175</v>
      </c>
      <c r="B70" s="1" t="s">
        <v>176</v>
      </c>
      <c r="C70" s="1" t="s">
        <v>59</v>
      </c>
      <c r="D70" s="1" t="s">
        <v>177</v>
      </c>
      <c r="E70" s="1" t="s">
        <v>25</v>
      </c>
      <c r="F70" s="1">
        <v>12.0</v>
      </c>
      <c r="G70" s="1">
        <v>5.0</v>
      </c>
      <c r="H70" s="1">
        <v>0.02</v>
      </c>
      <c r="I70" s="1">
        <v>45.0</v>
      </c>
      <c r="J70" s="1">
        <v>550.0</v>
      </c>
      <c r="K70" s="1">
        <v>2.9</v>
      </c>
      <c r="L70" s="1">
        <v>35.0</v>
      </c>
      <c r="M70" s="1">
        <v>10.0</v>
      </c>
      <c r="N70" s="4">
        <f t="shared" si="1"/>
        <v>9</v>
      </c>
      <c r="O70" s="5">
        <f t="shared" si="2"/>
        <v>14.28</v>
      </c>
      <c r="P70" s="5">
        <f t="shared" si="3"/>
        <v>68.26666667</v>
      </c>
      <c r="Q70" s="5">
        <f t="shared" si="4"/>
        <v>128.5714286</v>
      </c>
      <c r="R70" s="5">
        <f t="shared" si="8"/>
        <v>15.555</v>
      </c>
      <c r="S70" s="5">
        <f t="shared" si="6"/>
        <v>65.43333333</v>
      </c>
      <c r="T70" s="4" t="str">
        <f t="shared" si="7"/>
        <v>🚀Core Range</v>
      </c>
    </row>
    <row r="71">
      <c r="A71" s="1" t="s">
        <v>199</v>
      </c>
      <c r="B71" s="1" t="s">
        <v>200</v>
      </c>
      <c r="C71" s="1" t="s">
        <v>49</v>
      </c>
      <c r="D71" s="1" t="s">
        <v>137</v>
      </c>
      <c r="E71" s="1" t="s">
        <v>32</v>
      </c>
      <c r="F71" s="1">
        <v>220.0</v>
      </c>
      <c r="G71" s="1">
        <v>55.0</v>
      </c>
      <c r="H71" s="1">
        <v>0.0</v>
      </c>
      <c r="I71" s="1">
        <v>695.0</v>
      </c>
      <c r="J71" s="1">
        <v>22.0</v>
      </c>
      <c r="K71" s="1">
        <v>4.8</v>
      </c>
      <c r="L71" s="1">
        <v>750.0</v>
      </c>
      <c r="M71" s="1">
        <v>5.0</v>
      </c>
      <c r="N71" s="4">
        <f t="shared" si="1"/>
        <v>165</v>
      </c>
      <c r="O71" s="5">
        <f t="shared" si="2"/>
        <v>220</v>
      </c>
      <c r="P71" s="5">
        <f t="shared" si="3"/>
        <v>68.34532374</v>
      </c>
      <c r="Q71" s="5">
        <f t="shared" si="4"/>
        <v>92.66666667</v>
      </c>
      <c r="R71" s="5">
        <f t="shared" si="8"/>
        <v>220</v>
      </c>
      <c r="S71" s="5">
        <f t="shared" si="6"/>
        <v>68.34532374</v>
      </c>
      <c r="T71" s="4" t="str">
        <f t="shared" si="7"/>
        <v>🚀Core Range</v>
      </c>
    </row>
    <row r="72">
      <c r="A72" s="1" t="s">
        <v>35</v>
      </c>
      <c r="B72" s="1" t="s">
        <v>36</v>
      </c>
      <c r="C72" s="1" t="s">
        <v>15</v>
      </c>
      <c r="D72" s="1" t="s">
        <v>37</v>
      </c>
      <c r="E72" s="1" t="s">
        <v>38</v>
      </c>
      <c r="F72" s="1">
        <v>45.0</v>
      </c>
      <c r="G72" s="1">
        <v>12.0</v>
      </c>
      <c r="H72" s="1">
        <v>0.0</v>
      </c>
      <c r="I72" s="1">
        <v>145.0</v>
      </c>
      <c r="J72" s="1">
        <v>560.0</v>
      </c>
      <c r="K72" s="1">
        <v>5.1</v>
      </c>
      <c r="L72" s="1">
        <v>165.0</v>
      </c>
      <c r="M72" s="1">
        <v>3.0</v>
      </c>
      <c r="N72" s="4">
        <f t="shared" si="1"/>
        <v>33.75</v>
      </c>
      <c r="O72" s="5">
        <f t="shared" si="2"/>
        <v>45.75</v>
      </c>
      <c r="P72" s="5">
        <f t="shared" si="3"/>
        <v>68.44827586</v>
      </c>
      <c r="Q72" s="5">
        <f t="shared" si="4"/>
        <v>87.87878788</v>
      </c>
      <c r="R72" s="5">
        <f t="shared" si="8"/>
        <v>45.75</v>
      </c>
      <c r="S72" s="5">
        <f t="shared" si="6"/>
        <v>68.44827586</v>
      </c>
      <c r="T72" s="4" t="str">
        <f t="shared" si="7"/>
        <v>✅ Star</v>
      </c>
    </row>
    <row r="73">
      <c r="A73" s="1" t="s">
        <v>218</v>
      </c>
      <c r="B73" s="1" t="s">
        <v>219</v>
      </c>
      <c r="C73" s="1" t="s">
        <v>59</v>
      </c>
      <c r="D73" s="1" t="s">
        <v>220</v>
      </c>
      <c r="E73" s="1" t="s">
        <v>25</v>
      </c>
      <c r="F73" s="1">
        <v>35.0</v>
      </c>
      <c r="G73" s="1">
        <v>12.0</v>
      </c>
      <c r="H73" s="1">
        <v>0.02</v>
      </c>
      <c r="I73" s="1">
        <v>125.0</v>
      </c>
      <c r="J73" s="1">
        <v>160.0</v>
      </c>
      <c r="K73" s="1">
        <v>2.4</v>
      </c>
      <c r="L73" s="1">
        <v>145.0</v>
      </c>
      <c r="M73" s="1">
        <v>12.0</v>
      </c>
      <c r="N73" s="4">
        <f t="shared" si="1"/>
        <v>26.25</v>
      </c>
      <c r="O73" s="5">
        <f t="shared" si="2"/>
        <v>39.015</v>
      </c>
      <c r="P73" s="5">
        <f t="shared" si="3"/>
        <v>68.788</v>
      </c>
      <c r="Q73" s="5">
        <f t="shared" si="4"/>
        <v>86.20689655</v>
      </c>
      <c r="R73" s="5">
        <f t="shared" si="8"/>
        <v>42.075</v>
      </c>
      <c r="S73" s="5">
        <f t="shared" si="6"/>
        <v>66.34</v>
      </c>
      <c r="T73" s="4" t="str">
        <f t="shared" si="7"/>
        <v>🚀Core Range</v>
      </c>
    </row>
    <row r="74">
      <c r="A74" s="1" t="s">
        <v>153</v>
      </c>
      <c r="B74" s="1" t="s">
        <v>154</v>
      </c>
      <c r="C74" s="1" t="s">
        <v>59</v>
      </c>
      <c r="D74" s="1" t="s">
        <v>155</v>
      </c>
      <c r="E74" s="1" t="s">
        <v>25</v>
      </c>
      <c r="F74" s="1">
        <v>140.0</v>
      </c>
      <c r="G74" s="1">
        <v>45.0</v>
      </c>
      <c r="H74" s="1">
        <v>0.02</v>
      </c>
      <c r="I74" s="1">
        <v>495.0</v>
      </c>
      <c r="J74" s="1">
        <v>32.0</v>
      </c>
      <c r="K74" s="1">
        <v>2.8</v>
      </c>
      <c r="L74" s="1">
        <v>550.0</v>
      </c>
      <c r="M74" s="1">
        <v>12.0</v>
      </c>
      <c r="N74" s="4">
        <f t="shared" si="1"/>
        <v>105</v>
      </c>
      <c r="O74" s="5">
        <f t="shared" si="2"/>
        <v>153</v>
      </c>
      <c r="P74" s="5">
        <f t="shared" si="3"/>
        <v>69.09090909</v>
      </c>
      <c r="Q74" s="5">
        <f t="shared" si="4"/>
        <v>90</v>
      </c>
      <c r="R74" s="5">
        <f t="shared" si="8"/>
        <v>164.475</v>
      </c>
      <c r="S74" s="5">
        <f t="shared" si="6"/>
        <v>66.77272727</v>
      </c>
      <c r="T74" s="4" t="str">
        <f t="shared" si="7"/>
        <v>🔴 Critical</v>
      </c>
    </row>
    <row r="75">
      <c r="A75" s="1" t="s">
        <v>243</v>
      </c>
      <c r="B75" s="1" t="s">
        <v>244</v>
      </c>
      <c r="C75" s="1" t="s">
        <v>49</v>
      </c>
      <c r="D75" s="1" t="s">
        <v>245</v>
      </c>
      <c r="E75" s="1" t="s">
        <v>32</v>
      </c>
      <c r="F75" s="1">
        <v>450.0</v>
      </c>
      <c r="G75" s="1">
        <v>110.0</v>
      </c>
      <c r="H75" s="1">
        <v>0.0</v>
      </c>
      <c r="I75" s="1">
        <v>1450.0</v>
      </c>
      <c r="J75" s="1">
        <v>10.0</v>
      </c>
      <c r="K75" s="1">
        <v>5.5</v>
      </c>
      <c r="L75" s="1">
        <v>1650.0</v>
      </c>
      <c r="M75" s="1">
        <v>8.0</v>
      </c>
      <c r="N75" s="4">
        <f t="shared" si="1"/>
        <v>337.5</v>
      </c>
      <c r="O75" s="5">
        <f t="shared" si="2"/>
        <v>447.5</v>
      </c>
      <c r="P75" s="5">
        <f t="shared" si="3"/>
        <v>69.13793103</v>
      </c>
      <c r="Q75" s="5">
        <f t="shared" si="4"/>
        <v>87.87878788</v>
      </c>
      <c r="R75" s="5">
        <f t="shared" si="8"/>
        <v>447.5</v>
      </c>
      <c r="S75" s="5">
        <f t="shared" si="6"/>
        <v>69.13793103</v>
      </c>
      <c r="T75" s="4" t="str">
        <f t="shared" si="7"/>
        <v>🚀Core Range</v>
      </c>
    </row>
    <row r="76">
      <c r="A76" s="1" t="s">
        <v>33</v>
      </c>
      <c r="B76" s="1" t="s">
        <v>34</v>
      </c>
      <c r="C76" s="1" t="s">
        <v>30</v>
      </c>
      <c r="D76" s="1" t="s">
        <v>31</v>
      </c>
      <c r="E76" s="1" t="s">
        <v>32</v>
      </c>
      <c r="F76" s="1">
        <v>450.0</v>
      </c>
      <c r="G76" s="1">
        <v>45.0</v>
      </c>
      <c r="H76" s="1">
        <v>0.0</v>
      </c>
      <c r="I76" s="1">
        <v>1250.0</v>
      </c>
      <c r="J76" s="1">
        <v>185.0</v>
      </c>
      <c r="K76" s="1">
        <v>2.4</v>
      </c>
      <c r="L76" s="1">
        <v>1400.0</v>
      </c>
      <c r="M76" s="1">
        <v>6.0</v>
      </c>
      <c r="N76" s="4">
        <f t="shared" si="1"/>
        <v>337.5</v>
      </c>
      <c r="O76" s="5">
        <f t="shared" si="2"/>
        <v>382.5</v>
      </c>
      <c r="P76" s="5">
        <f t="shared" si="3"/>
        <v>69.4</v>
      </c>
      <c r="Q76" s="5">
        <f t="shared" si="4"/>
        <v>89.28571429</v>
      </c>
      <c r="R76" s="5">
        <f t="shared" si="8"/>
        <v>382.5</v>
      </c>
      <c r="S76" s="5">
        <f t="shared" si="6"/>
        <v>69.4</v>
      </c>
      <c r="T76" s="4" t="str">
        <f t="shared" si="7"/>
        <v>🚀Core Range</v>
      </c>
    </row>
    <row r="77">
      <c r="A77" s="1" t="s">
        <v>265</v>
      </c>
      <c r="B77" s="1" t="s">
        <v>266</v>
      </c>
      <c r="C77" s="1" t="s">
        <v>49</v>
      </c>
      <c r="D77" s="1" t="s">
        <v>267</v>
      </c>
      <c r="E77" s="1" t="s">
        <v>32</v>
      </c>
      <c r="F77" s="1">
        <v>140.0</v>
      </c>
      <c r="G77" s="1">
        <v>45.0</v>
      </c>
      <c r="H77" s="1">
        <v>0.0</v>
      </c>
      <c r="I77" s="1">
        <v>495.0</v>
      </c>
      <c r="J77" s="1">
        <v>85.0</v>
      </c>
      <c r="K77" s="1">
        <v>1.8</v>
      </c>
      <c r="L77" s="1">
        <v>550.0</v>
      </c>
      <c r="M77" s="1">
        <v>4.0</v>
      </c>
      <c r="N77" s="4">
        <f t="shared" si="1"/>
        <v>105</v>
      </c>
      <c r="O77" s="5">
        <f t="shared" si="2"/>
        <v>150</v>
      </c>
      <c r="P77" s="5">
        <f t="shared" si="3"/>
        <v>69.6969697</v>
      </c>
      <c r="Q77" s="5">
        <f t="shared" si="4"/>
        <v>90</v>
      </c>
      <c r="R77" s="5">
        <f t="shared" si="8"/>
        <v>150</v>
      </c>
      <c r="S77" s="5">
        <f t="shared" si="6"/>
        <v>69.6969697</v>
      </c>
      <c r="T77" s="4" t="str">
        <f t="shared" si="7"/>
        <v>✅ Star</v>
      </c>
    </row>
    <row r="78">
      <c r="A78" s="1" t="s">
        <v>88</v>
      </c>
      <c r="B78" s="1" t="s">
        <v>89</v>
      </c>
      <c r="C78" s="1" t="s">
        <v>23</v>
      </c>
      <c r="D78" s="1" t="s">
        <v>16</v>
      </c>
      <c r="E78" s="1" t="s">
        <v>32</v>
      </c>
      <c r="F78" s="1">
        <v>45.0</v>
      </c>
      <c r="G78" s="1">
        <v>10.0</v>
      </c>
      <c r="H78" s="1">
        <v>0.0</v>
      </c>
      <c r="I78" s="1">
        <v>145.0</v>
      </c>
      <c r="J78" s="1">
        <v>420.0</v>
      </c>
      <c r="K78" s="1">
        <v>0.5</v>
      </c>
      <c r="L78" s="1">
        <v>165.0</v>
      </c>
      <c r="M78" s="1">
        <v>2.0</v>
      </c>
      <c r="N78" s="4">
        <f t="shared" si="1"/>
        <v>33.75</v>
      </c>
      <c r="O78" s="5">
        <f t="shared" si="2"/>
        <v>43.75</v>
      </c>
      <c r="P78" s="5">
        <f t="shared" si="3"/>
        <v>69.82758621</v>
      </c>
      <c r="Q78" s="5">
        <f t="shared" si="4"/>
        <v>87.87878788</v>
      </c>
      <c r="R78" s="5">
        <f t="shared" si="8"/>
        <v>43.75</v>
      </c>
      <c r="S78" s="5">
        <f t="shared" si="6"/>
        <v>69.82758621</v>
      </c>
      <c r="T78" s="4" t="str">
        <f t="shared" si="7"/>
        <v>✅ Star</v>
      </c>
    </row>
    <row r="79">
      <c r="A79" s="1" t="s">
        <v>158</v>
      </c>
      <c r="B79" s="1" t="s">
        <v>159</v>
      </c>
      <c r="C79" s="1" t="s">
        <v>23</v>
      </c>
      <c r="D79" s="1" t="s">
        <v>160</v>
      </c>
      <c r="E79" s="1" t="s">
        <v>32</v>
      </c>
      <c r="F79" s="1">
        <v>320.0</v>
      </c>
      <c r="G79" s="1">
        <v>45.0</v>
      </c>
      <c r="H79" s="1">
        <v>0.0</v>
      </c>
      <c r="I79" s="1">
        <v>950.0</v>
      </c>
      <c r="J79" s="1">
        <v>26.0</v>
      </c>
      <c r="K79" s="1">
        <v>1.4</v>
      </c>
      <c r="L79" s="1">
        <v>1100.0</v>
      </c>
      <c r="M79" s="1">
        <v>6.0</v>
      </c>
      <c r="N79" s="4">
        <f t="shared" si="1"/>
        <v>240</v>
      </c>
      <c r="O79" s="5">
        <f t="shared" si="2"/>
        <v>285</v>
      </c>
      <c r="P79" s="5">
        <f t="shared" si="3"/>
        <v>70</v>
      </c>
      <c r="Q79" s="5">
        <f t="shared" si="4"/>
        <v>86.36363636</v>
      </c>
      <c r="R79" s="5">
        <f t="shared" si="8"/>
        <v>285</v>
      </c>
      <c r="S79" s="5">
        <f t="shared" si="6"/>
        <v>70</v>
      </c>
      <c r="T79" s="4" t="str">
        <f t="shared" si="7"/>
        <v>🚀Core Range</v>
      </c>
    </row>
    <row r="80">
      <c r="A80" s="1" t="s">
        <v>93</v>
      </c>
      <c r="B80" s="1" t="s">
        <v>94</v>
      </c>
      <c r="C80" s="1" t="s">
        <v>49</v>
      </c>
      <c r="D80" s="1" t="s">
        <v>31</v>
      </c>
      <c r="E80" s="1" t="s">
        <v>32</v>
      </c>
      <c r="F80" s="1">
        <v>110.0</v>
      </c>
      <c r="G80" s="1">
        <v>15.0</v>
      </c>
      <c r="H80" s="1">
        <v>0.0</v>
      </c>
      <c r="I80" s="1">
        <v>325.0</v>
      </c>
      <c r="J80" s="1">
        <v>190.0</v>
      </c>
      <c r="K80" s="1">
        <v>1.1</v>
      </c>
      <c r="L80" s="1">
        <v>375.0</v>
      </c>
      <c r="M80" s="1">
        <v>3.0</v>
      </c>
      <c r="N80" s="4">
        <f t="shared" si="1"/>
        <v>82.5</v>
      </c>
      <c r="O80" s="5">
        <f t="shared" si="2"/>
        <v>97.5</v>
      </c>
      <c r="P80" s="5">
        <f t="shared" si="3"/>
        <v>70</v>
      </c>
      <c r="Q80" s="5">
        <f t="shared" si="4"/>
        <v>86.66666667</v>
      </c>
      <c r="R80" s="5">
        <f t="shared" si="8"/>
        <v>97.5</v>
      </c>
      <c r="S80" s="5">
        <f t="shared" si="6"/>
        <v>70</v>
      </c>
      <c r="T80" s="4" t="str">
        <f t="shared" si="7"/>
        <v>✅ Star</v>
      </c>
    </row>
    <row r="81">
      <c r="A81" s="1" t="s">
        <v>74</v>
      </c>
      <c r="B81" s="1" t="s">
        <v>75</v>
      </c>
      <c r="C81" s="1" t="s">
        <v>30</v>
      </c>
      <c r="D81" s="1" t="s">
        <v>76</v>
      </c>
      <c r="E81" s="1" t="s">
        <v>77</v>
      </c>
      <c r="F81" s="1">
        <v>650.0</v>
      </c>
      <c r="G81" s="1">
        <v>95.0</v>
      </c>
      <c r="H81" s="1">
        <v>0.0</v>
      </c>
      <c r="I81" s="1">
        <v>1950.0</v>
      </c>
      <c r="J81" s="1">
        <v>15.0</v>
      </c>
      <c r="K81" s="1">
        <v>3.5</v>
      </c>
      <c r="L81" s="1">
        <v>2200.0</v>
      </c>
      <c r="M81" s="1">
        <v>8.0</v>
      </c>
      <c r="N81" s="4">
        <f t="shared" si="1"/>
        <v>487.5</v>
      </c>
      <c r="O81" s="5">
        <f t="shared" si="2"/>
        <v>582.5</v>
      </c>
      <c r="P81" s="5">
        <f t="shared" si="3"/>
        <v>70.12820513</v>
      </c>
      <c r="Q81" s="5">
        <f t="shared" si="4"/>
        <v>88.63636364</v>
      </c>
      <c r="R81" s="5">
        <f t="shared" si="8"/>
        <v>582.5</v>
      </c>
      <c r="S81" s="5">
        <f t="shared" si="6"/>
        <v>70.12820513</v>
      </c>
      <c r="T81" s="4" t="str">
        <f t="shared" si="7"/>
        <v>🚀Core Range</v>
      </c>
    </row>
    <row r="82">
      <c r="A82" s="1" t="s">
        <v>172</v>
      </c>
      <c r="B82" s="1" t="s">
        <v>173</v>
      </c>
      <c r="C82" s="1" t="s">
        <v>20</v>
      </c>
      <c r="D82" s="1" t="s">
        <v>174</v>
      </c>
      <c r="E82" s="1" t="s">
        <v>32</v>
      </c>
      <c r="F82" s="1">
        <v>145.0</v>
      </c>
      <c r="G82" s="1">
        <v>25.0</v>
      </c>
      <c r="H82" s="1">
        <v>0.0</v>
      </c>
      <c r="I82" s="1">
        <v>450.0</v>
      </c>
      <c r="J82" s="1">
        <v>65.0</v>
      </c>
      <c r="K82" s="1">
        <v>1.5</v>
      </c>
      <c r="L82" s="1">
        <v>495.0</v>
      </c>
      <c r="M82" s="1">
        <v>4.0</v>
      </c>
      <c r="N82" s="4">
        <f t="shared" si="1"/>
        <v>108.75</v>
      </c>
      <c r="O82" s="5">
        <f t="shared" si="2"/>
        <v>133.75</v>
      </c>
      <c r="P82" s="5">
        <f t="shared" si="3"/>
        <v>70.27777778</v>
      </c>
      <c r="Q82" s="5">
        <f t="shared" si="4"/>
        <v>90.90909091</v>
      </c>
      <c r="R82" s="5">
        <f t="shared" si="8"/>
        <v>133.75</v>
      </c>
      <c r="S82" s="5">
        <f t="shared" si="6"/>
        <v>70.27777778</v>
      </c>
      <c r="T82" s="4" t="str">
        <f t="shared" si="7"/>
        <v>✅ Star</v>
      </c>
    </row>
    <row r="83">
      <c r="A83" s="1" t="s">
        <v>215</v>
      </c>
      <c r="B83" s="1" t="s">
        <v>216</v>
      </c>
      <c r="C83" s="1" t="s">
        <v>20</v>
      </c>
      <c r="D83" s="1" t="s">
        <v>217</v>
      </c>
      <c r="E83" s="1" t="s">
        <v>32</v>
      </c>
      <c r="F83" s="1">
        <v>210.0</v>
      </c>
      <c r="G83" s="1">
        <v>35.0</v>
      </c>
      <c r="H83" s="1">
        <v>0.0</v>
      </c>
      <c r="I83" s="1">
        <v>650.0</v>
      </c>
      <c r="J83" s="1">
        <v>28.0</v>
      </c>
      <c r="K83" s="1">
        <v>1.2</v>
      </c>
      <c r="L83" s="1">
        <v>750.0</v>
      </c>
      <c r="M83" s="1">
        <v>6.0</v>
      </c>
      <c r="N83" s="4">
        <f t="shared" si="1"/>
        <v>157.5</v>
      </c>
      <c r="O83" s="5">
        <f t="shared" si="2"/>
        <v>192.5</v>
      </c>
      <c r="P83" s="5">
        <f t="shared" si="3"/>
        <v>70.38461538</v>
      </c>
      <c r="Q83" s="5">
        <f t="shared" si="4"/>
        <v>86.66666667</v>
      </c>
      <c r="R83" s="5">
        <f t="shared" si="8"/>
        <v>192.5</v>
      </c>
      <c r="S83" s="5">
        <f t="shared" si="6"/>
        <v>70.38461538</v>
      </c>
      <c r="T83" s="4" t="str">
        <f t="shared" si="7"/>
        <v>🚀Core Range</v>
      </c>
    </row>
    <row r="84">
      <c r="A84" s="1" t="s">
        <v>85</v>
      </c>
      <c r="B84" s="1" t="s">
        <v>86</v>
      </c>
      <c r="C84" s="1" t="s">
        <v>59</v>
      </c>
      <c r="D84" s="1" t="s">
        <v>87</v>
      </c>
      <c r="E84" s="1" t="s">
        <v>25</v>
      </c>
      <c r="F84" s="1">
        <v>18.0</v>
      </c>
      <c r="G84" s="1">
        <v>8.0</v>
      </c>
      <c r="H84" s="1">
        <v>0.02</v>
      </c>
      <c r="I84" s="1">
        <v>75.0</v>
      </c>
      <c r="J84" s="1">
        <v>145.0</v>
      </c>
      <c r="K84" s="1">
        <v>2.3</v>
      </c>
      <c r="L84" s="1">
        <v>85.0</v>
      </c>
      <c r="M84" s="1">
        <v>10.0</v>
      </c>
      <c r="N84" s="4">
        <f t="shared" si="1"/>
        <v>13.5</v>
      </c>
      <c r="O84" s="5">
        <f t="shared" si="2"/>
        <v>21.93</v>
      </c>
      <c r="P84" s="5">
        <f t="shared" si="3"/>
        <v>70.76</v>
      </c>
      <c r="Q84" s="5">
        <f t="shared" si="4"/>
        <v>88.23529412</v>
      </c>
      <c r="R84" s="5">
        <f t="shared" si="8"/>
        <v>23.97</v>
      </c>
      <c r="S84" s="5">
        <f t="shared" si="6"/>
        <v>68.04</v>
      </c>
      <c r="T84" s="4" t="str">
        <f t="shared" si="7"/>
        <v>🚀Core Range</v>
      </c>
    </row>
    <row r="85">
      <c r="A85" s="1" t="s">
        <v>194</v>
      </c>
      <c r="B85" s="1" t="s">
        <v>195</v>
      </c>
      <c r="C85" s="1" t="s">
        <v>20</v>
      </c>
      <c r="D85" s="1" t="s">
        <v>31</v>
      </c>
      <c r="E85" s="1" t="s">
        <v>32</v>
      </c>
      <c r="F85" s="1">
        <v>180.0</v>
      </c>
      <c r="G85" s="1">
        <v>25.0</v>
      </c>
      <c r="H85" s="1">
        <v>0.0</v>
      </c>
      <c r="I85" s="1">
        <v>550.0</v>
      </c>
      <c r="J85" s="1">
        <v>110.0</v>
      </c>
      <c r="K85" s="1">
        <v>1.4</v>
      </c>
      <c r="L85" s="1">
        <v>595.0</v>
      </c>
      <c r="M85" s="1">
        <v>4.0</v>
      </c>
      <c r="N85" s="4">
        <f t="shared" si="1"/>
        <v>135</v>
      </c>
      <c r="O85" s="5">
        <f t="shared" si="2"/>
        <v>160</v>
      </c>
      <c r="P85" s="5">
        <f t="shared" si="3"/>
        <v>70.90909091</v>
      </c>
      <c r="Q85" s="5">
        <f t="shared" si="4"/>
        <v>92.43697479</v>
      </c>
      <c r="R85" s="5">
        <f t="shared" si="8"/>
        <v>160</v>
      </c>
      <c r="S85" s="5">
        <f t="shared" si="6"/>
        <v>70.90909091</v>
      </c>
      <c r="T85" s="4" t="str">
        <f t="shared" si="7"/>
        <v>✅ Star</v>
      </c>
    </row>
    <row r="86">
      <c r="A86" s="1" t="s">
        <v>213</v>
      </c>
      <c r="B86" s="1" t="s">
        <v>214</v>
      </c>
      <c r="C86" s="1" t="s">
        <v>30</v>
      </c>
      <c r="D86" s="1" t="s">
        <v>37</v>
      </c>
      <c r="E86" s="1" t="s">
        <v>38</v>
      </c>
      <c r="F86" s="1">
        <v>720.0</v>
      </c>
      <c r="G86" s="1">
        <v>110.0</v>
      </c>
      <c r="H86" s="1">
        <v>0.0</v>
      </c>
      <c r="I86" s="1">
        <v>2250.0</v>
      </c>
      <c r="J86" s="1">
        <v>12.0</v>
      </c>
      <c r="K86" s="1">
        <v>3.4</v>
      </c>
      <c r="L86" s="1">
        <v>2500.0</v>
      </c>
      <c r="M86" s="1">
        <v>10.0</v>
      </c>
      <c r="N86" s="4">
        <f t="shared" si="1"/>
        <v>540</v>
      </c>
      <c r="O86" s="5">
        <f t="shared" si="2"/>
        <v>650</v>
      </c>
      <c r="P86" s="5">
        <f t="shared" si="3"/>
        <v>71.11111111</v>
      </c>
      <c r="Q86" s="5">
        <f t="shared" si="4"/>
        <v>90</v>
      </c>
      <c r="R86" s="5">
        <f t="shared" si="8"/>
        <v>650</v>
      </c>
      <c r="S86" s="5">
        <f t="shared" si="6"/>
        <v>71.11111111</v>
      </c>
      <c r="T86" s="4" t="str">
        <f t="shared" si="7"/>
        <v>🚀Core Range</v>
      </c>
    </row>
    <row r="87">
      <c r="A87" s="1" t="s">
        <v>252</v>
      </c>
      <c r="B87" s="1" t="s">
        <v>253</v>
      </c>
      <c r="C87" s="1" t="s">
        <v>15</v>
      </c>
      <c r="D87" s="1" t="s">
        <v>254</v>
      </c>
      <c r="E87" s="1" t="s">
        <v>32</v>
      </c>
      <c r="F87" s="1">
        <v>480.0</v>
      </c>
      <c r="G87" s="1">
        <v>85.0</v>
      </c>
      <c r="H87" s="1">
        <v>0.0</v>
      </c>
      <c r="I87" s="1">
        <v>1550.0</v>
      </c>
      <c r="J87" s="1">
        <v>12.0</v>
      </c>
      <c r="K87" s="1">
        <v>2.1</v>
      </c>
      <c r="L87" s="1">
        <v>1800.0</v>
      </c>
      <c r="M87" s="1">
        <v>12.0</v>
      </c>
      <c r="N87" s="4">
        <f t="shared" si="1"/>
        <v>360</v>
      </c>
      <c r="O87" s="5">
        <f t="shared" si="2"/>
        <v>445</v>
      </c>
      <c r="P87" s="5">
        <f t="shared" si="3"/>
        <v>71.29032258</v>
      </c>
      <c r="Q87" s="5">
        <f t="shared" si="4"/>
        <v>86.11111111</v>
      </c>
      <c r="R87" s="5">
        <f t="shared" si="8"/>
        <v>445</v>
      </c>
      <c r="S87" s="5">
        <f t="shared" si="6"/>
        <v>71.29032258</v>
      </c>
      <c r="T87" s="4" t="str">
        <f t="shared" si="7"/>
        <v>🔴 Critical</v>
      </c>
    </row>
    <row r="88">
      <c r="A88" s="1" t="s">
        <v>124</v>
      </c>
      <c r="B88" s="1" t="s">
        <v>125</v>
      </c>
      <c r="C88" s="1" t="s">
        <v>30</v>
      </c>
      <c r="D88" s="1" t="s">
        <v>31</v>
      </c>
      <c r="E88" s="1" t="s">
        <v>32</v>
      </c>
      <c r="F88" s="1">
        <v>380.0</v>
      </c>
      <c r="G88" s="1">
        <v>45.0</v>
      </c>
      <c r="H88" s="1">
        <v>0.0</v>
      </c>
      <c r="I88" s="1">
        <v>1150.0</v>
      </c>
      <c r="J88" s="1">
        <v>28.0</v>
      </c>
      <c r="K88" s="1">
        <v>1.8</v>
      </c>
      <c r="L88" s="1">
        <v>1300.0</v>
      </c>
      <c r="M88" s="1">
        <v>6.0</v>
      </c>
      <c r="N88" s="4">
        <f t="shared" si="1"/>
        <v>285</v>
      </c>
      <c r="O88" s="5">
        <f t="shared" si="2"/>
        <v>330</v>
      </c>
      <c r="P88" s="5">
        <f t="shared" si="3"/>
        <v>71.30434783</v>
      </c>
      <c r="Q88" s="5">
        <f t="shared" si="4"/>
        <v>88.46153846</v>
      </c>
      <c r="R88" s="5">
        <f t="shared" si="8"/>
        <v>330</v>
      </c>
      <c r="S88" s="5">
        <f t="shared" si="6"/>
        <v>71.30434783</v>
      </c>
      <c r="T88" s="4" t="str">
        <f t="shared" si="7"/>
        <v>🚀Core Range</v>
      </c>
    </row>
    <row r="89">
      <c r="A89" s="1" t="s">
        <v>291</v>
      </c>
      <c r="B89" s="1" t="s">
        <v>292</v>
      </c>
      <c r="C89" s="1" t="s">
        <v>23</v>
      </c>
      <c r="D89" s="1" t="s">
        <v>115</v>
      </c>
      <c r="E89" s="1" t="s">
        <v>32</v>
      </c>
      <c r="F89" s="1">
        <v>180.0</v>
      </c>
      <c r="G89" s="1">
        <v>35.0</v>
      </c>
      <c r="H89" s="1">
        <v>0.0</v>
      </c>
      <c r="I89" s="1">
        <v>595.0</v>
      </c>
      <c r="J89" s="1">
        <v>42.0</v>
      </c>
      <c r="K89" s="1">
        <v>1.1</v>
      </c>
      <c r="L89" s="1">
        <v>650.0</v>
      </c>
      <c r="M89" s="1">
        <v>6.0</v>
      </c>
      <c r="N89" s="4">
        <f t="shared" si="1"/>
        <v>135</v>
      </c>
      <c r="O89" s="5">
        <f t="shared" si="2"/>
        <v>170</v>
      </c>
      <c r="P89" s="5">
        <f t="shared" si="3"/>
        <v>71.42857143</v>
      </c>
      <c r="Q89" s="5">
        <f t="shared" si="4"/>
        <v>91.53846154</v>
      </c>
      <c r="R89" s="5">
        <f t="shared" si="8"/>
        <v>170</v>
      </c>
      <c r="S89" s="5">
        <f t="shared" si="6"/>
        <v>71.42857143</v>
      </c>
      <c r="T89" s="4" t="str">
        <f t="shared" si="7"/>
        <v>🚀Core Range</v>
      </c>
    </row>
    <row r="90">
      <c r="A90" s="1" t="s">
        <v>178</v>
      </c>
      <c r="B90" s="1" t="s">
        <v>179</v>
      </c>
      <c r="C90" s="1" t="s">
        <v>49</v>
      </c>
      <c r="D90" s="1" t="s">
        <v>180</v>
      </c>
      <c r="E90" s="1" t="s">
        <v>32</v>
      </c>
      <c r="F90" s="1">
        <v>180.0</v>
      </c>
      <c r="G90" s="1">
        <v>35.0</v>
      </c>
      <c r="H90" s="1">
        <v>0.0</v>
      </c>
      <c r="I90" s="1">
        <v>595.0</v>
      </c>
      <c r="J90" s="1">
        <v>140.0</v>
      </c>
      <c r="K90" s="1">
        <v>4.2</v>
      </c>
      <c r="L90" s="1">
        <v>650.0</v>
      </c>
      <c r="M90" s="1">
        <v>2.0</v>
      </c>
      <c r="N90" s="4">
        <f t="shared" si="1"/>
        <v>135</v>
      </c>
      <c r="O90" s="5">
        <f t="shared" si="2"/>
        <v>170</v>
      </c>
      <c r="P90" s="5">
        <f t="shared" si="3"/>
        <v>71.42857143</v>
      </c>
      <c r="Q90" s="5">
        <f t="shared" si="4"/>
        <v>91.53846154</v>
      </c>
      <c r="R90" s="5">
        <f t="shared" si="8"/>
        <v>170</v>
      </c>
      <c r="S90" s="5">
        <f t="shared" si="6"/>
        <v>71.42857143</v>
      </c>
      <c r="T90" s="4" t="str">
        <f t="shared" si="7"/>
        <v>✅ Star</v>
      </c>
    </row>
    <row r="91">
      <c r="A91" s="1" t="s">
        <v>167</v>
      </c>
      <c r="B91" s="1" t="s">
        <v>168</v>
      </c>
      <c r="C91" s="1" t="s">
        <v>80</v>
      </c>
      <c r="D91" s="1" t="s">
        <v>169</v>
      </c>
      <c r="E91" s="1" t="s">
        <v>44</v>
      </c>
      <c r="F91" s="1">
        <v>18.0</v>
      </c>
      <c r="G91" s="1">
        <v>5.0</v>
      </c>
      <c r="H91" s="1">
        <v>0.0</v>
      </c>
      <c r="I91" s="1">
        <v>65.0</v>
      </c>
      <c r="J91" s="1">
        <v>210.0</v>
      </c>
      <c r="K91" s="1">
        <v>0.4</v>
      </c>
      <c r="L91" s="1">
        <v>85.0</v>
      </c>
      <c r="M91" s="1">
        <v>4.0</v>
      </c>
      <c r="N91" s="4">
        <f t="shared" si="1"/>
        <v>13.5</v>
      </c>
      <c r="O91" s="5">
        <f t="shared" si="2"/>
        <v>18.5</v>
      </c>
      <c r="P91" s="5">
        <f t="shared" si="3"/>
        <v>71.53846154</v>
      </c>
      <c r="Q91" s="5">
        <f t="shared" si="4"/>
        <v>76.47058824</v>
      </c>
      <c r="R91" s="5">
        <f t="shared" si="8"/>
        <v>18.5</v>
      </c>
      <c r="S91" s="5">
        <f t="shared" si="6"/>
        <v>71.53846154</v>
      </c>
      <c r="T91" s="4" t="str">
        <f t="shared" si="7"/>
        <v>✅ Star</v>
      </c>
    </row>
    <row r="92">
      <c r="A92" s="1" t="s">
        <v>66</v>
      </c>
      <c r="B92" s="1" t="s">
        <v>67</v>
      </c>
      <c r="C92" s="1" t="s">
        <v>15</v>
      </c>
      <c r="D92" s="1" t="s">
        <v>68</v>
      </c>
      <c r="E92" s="1" t="s">
        <v>32</v>
      </c>
      <c r="F92" s="1">
        <v>380.0</v>
      </c>
      <c r="G92" s="1">
        <v>25.0</v>
      </c>
      <c r="H92" s="1">
        <v>0.0</v>
      </c>
      <c r="I92" s="1">
        <v>1100.0</v>
      </c>
      <c r="J92" s="1">
        <v>24.0</v>
      </c>
      <c r="K92" s="1">
        <v>0.8</v>
      </c>
      <c r="L92" s="1">
        <v>1250.0</v>
      </c>
      <c r="M92" s="1">
        <v>4.0</v>
      </c>
      <c r="N92" s="4">
        <f t="shared" si="1"/>
        <v>285</v>
      </c>
      <c r="O92" s="5">
        <f t="shared" si="2"/>
        <v>310</v>
      </c>
      <c r="P92" s="5">
        <f t="shared" si="3"/>
        <v>71.81818182</v>
      </c>
      <c r="Q92" s="5">
        <f t="shared" si="4"/>
        <v>88</v>
      </c>
      <c r="R92" s="5">
        <f t="shared" si="8"/>
        <v>310</v>
      </c>
      <c r="S92" s="5">
        <f t="shared" si="6"/>
        <v>71.81818182</v>
      </c>
      <c r="T92" s="4" t="str">
        <f t="shared" si="7"/>
        <v>🚀Core Range</v>
      </c>
    </row>
    <row r="93">
      <c r="A93" s="1" t="s">
        <v>271</v>
      </c>
      <c r="B93" s="1" t="s">
        <v>272</v>
      </c>
      <c r="C93" s="1" t="s">
        <v>71</v>
      </c>
      <c r="D93" s="1" t="s">
        <v>273</v>
      </c>
      <c r="E93" s="1" t="s">
        <v>32</v>
      </c>
      <c r="F93" s="1">
        <v>8.0</v>
      </c>
      <c r="G93" s="1">
        <v>2.0</v>
      </c>
      <c r="H93" s="1">
        <v>0.0</v>
      </c>
      <c r="I93" s="1">
        <v>29.0</v>
      </c>
      <c r="J93" s="1">
        <v>850.0</v>
      </c>
      <c r="K93" s="1">
        <v>0.8</v>
      </c>
      <c r="L93" s="1">
        <v>35.0</v>
      </c>
      <c r="M93" s="1">
        <v>2.0</v>
      </c>
      <c r="N93" s="4">
        <f t="shared" si="1"/>
        <v>6</v>
      </c>
      <c r="O93" s="5">
        <f t="shared" si="2"/>
        <v>8</v>
      </c>
      <c r="P93" s="5">
        <f t="shared" si="3"/>
        <v>72.4137931</v>
      </c>
      <c r="Q93" s="5">
        <f t="shared" si="4"/>
        <v>82.85714286</v>
      </c>
      <c r="R93" s="5">
        <f t="shared" si="8"/>
        <v>8</v>
      </c>
      <c r="S93" s="5">
        <f t="shared" si="6"/>
        <v>72.4137931</v>
      </c>
      <c r="T93" s="4" t="str">
        <f t="shared" si="7"/>
        <v>✅ Star</v>
      </c>
    </row>
    <row r="94">
      <c r="A94" s="1" t="s">
        <v>203</v>
      </c>
      <c r="B94" s="1" t="s">
        <v>204</v>
      </c>
      <c r="C94" s="1" t="s">
        <v>71</v>
      </c>
      <c r="D94" s="1" t="s">
        <v>205</v>
      </c>
      <c r="E94" s="1" t="s">
        <v>206</v>
      </c>
      <c r="F94" s="1">
        <v>65.0</v>
      </c>
      <c r="G94" s="1">
        <v>5.0</v>
      </c>
      <c r="H94" s="1">
        <v>0.0</v>
      </c>
      <c r="I94" s="1">
        <v>195.0</v>
      </c>
      <c r="J94" s="1">
        <v>145.0</v>
      </c>
      <c r="K94" s="1">
        <v>0.9</v>
      </c>
      <c r="L94" s="1">
        <v>250.0</v>
      </c>
      <c r="M94" s="1">
        <v>2.0</v>
      </c>
      <c r="N94" s="4">
        <f t="shared" si="1"/>
        <v>48.75</v>
      </c>
      <c r="O94" s="5">
        <f t="shared" si="2"/>
        <v>53.75</v>
      </c>
      <c r="P94" s="5">
        <f t="shared" si="3"/>
        <v>72.43589744</v>
      </c>
      <c r="Q94" s="5">
        <f t="shared" si="4"/>
        <v>78</v>
      </c>
      <c r="R94" s="5">
        <f t="shared" si="8"/>
        <v>53.75</v>
      </c>
      <c r="S94" s="5">
        <f t="shared" si="6"/>
        <v>72.43589744</v>
      </c>
      <c r="T94" s="4" t="str">
        <f t="shared" si="7"/>
        <v>✅ Star</v>
      </c>
    </row>
    <row r="95">
      <c r="A95" s="1" t="s">
        <v>119</v>
      </c>
      <c r="B95" s="1" t="s">
        <v>120</v>
      </c>
      <c r="C95" s="1" t="s">
        <v>71</v>
      </c>
      <c r="D95" s="1" t="s">
        <v>121</v>
      </c>
      <c r="E95" s="1" t="s">
        <v>32</v>
      </c>
      <c r="F95" s="1">
        <v>22.0</v>
      </c>
      <c r="G95" s="1">
        <v>5.0</v>
      </c>
      <c r="H95" s="1">
        <v>0.0</v>
      </c>
      <c r="I95" s="1">
        <v>79.0</v>
      </c>
      <c r="J95" s="1">
        <v>115.0</v>
      </c>
      <c r="K95" s="1">
        <v>1.4</v>
      </c>
      <c r="L95" s="1">
        <v>95.0</v>
      </c>
      <c r="M95" s="1">
        <v>2.0</v>
      </c>
      <c r="N95" s="4">
        <f t="shared" si="1"/>
        <v>16.5</v>
      </c>
      <c r="O95" s="5">
        <f t="shared" si="2"/>
        <v>21.5</v>
      </c>
      <c r="P95" s="5">
        <f t="shared" si="3"/>
        <v>72.78481013</v>
      </c>
      <c r="Q95" s="5">
        <f t="shared" si="4"/>
        <v>83.15789474</v>
      </c>
      <c r="R95" s="5">
        <f t="shared" si="8"/>
        <v>21.5</v>
      </c>
      <c r="S95" s="5">
        <f t="shared" si="6"/>
        <v>72.78481013</v>
      </c>
      <c r="T95" s="4" t="str">
        <f t="shared" si="7"/>
        <v>✅ Star</v>
      </c>
    </row>
    <row r="96">
      <c r="A96" s="1" t="s">
        <v>161</v>
      </c>
      <c r="B96" s="1" t="s">
        <v>162</v>
      </c>
      <c r="C96" s="1" t="s">
        <v>71</v>
      </c>
      <c r="D96" s="1" t="s">
        <v>163</v>
      </c>
      <c r="E96" s="1" t="s">
        <v>32</v>
      </c>
      <c r="F96" s="1">
        <v>25.0</v>
      </c>
      <c r="G96" s="1">
        <v>5.0</v>
      </c>
      <c r="H96" s="1">
        <v>0.0</v>
      </c>
      <c r="I96" s="1">
        <v>89.0</v>
      </c>
      <c r="J96" s="1">
        <v>310.0</v>
      </c>
      <c r="K96" s="1">
        <v>0.5</v>
      </c>
      <c r="L96" s="1">
        <v>110.0</v>
      </c>
      <c r="M96" s="1">
        <v>2.0</v>
      </c>
      <c r="N96" s="4">
        <f t="shared" si="1"/>
        <v>18.75</v>
      </c>
      <c r="O96" s="5">
        <f t="shared" si="2"/>
        <v>23.75</v>
      </c>
      <c r="P96" s="5">
        <f t="shared" si="3"/>
        <v>73.31460674</v>
      </c>
      <c r="Q96" s="5">
        <f t="shared" si="4"/>
        <v>80.90909091</v>
      </c>
      <c r="R96" s="5">
        <f t="shared" si="8"/>
        <v>23.75</v>
      </c>
      <c r="S96" s="5">
        <f t="shared" si="6"/>
        <v>73.31460674</v>
      </c>
      <c r="T96" s="4" t="str">
        <f t="shared" si="7"/>
        <v>✅ Star</v>
      </c>
    </row>
    <row r="97">
      <c r="A97" s="1" t="s">
        <v>133</v>
      </c>
      <c r="B97" s="1" t="s">
        <v>134</v>
      </c>
      <c r="C97" s="1" t="s">
        <v>49</v>
      </c>
      <c r="D97" s="1" t="s">
        <v>76</v>
      </c>
      <c r="E97" s="1" t="s">
        <v>32</v>
      </c>
      <c r="F97" s="1">
        <v>120.0</v>
      </c>
      <c r="G97" s="1">
        <v>15.0</v>
      </c>
      <c r="H97" s="1">
        <v>0.0</v>
      </c>
      <c r="I97" s="1">
        <v>395.0</v>
      </c>
      <c r="J97" s="1">
        <v>85.0</v>
      </c>
      <c r="K97" s="1">
        <v>0.9</v>
      </c>
      <c r="L97" s="1">
        <v>450.0</v>
      </c>
      <c r="M97" s="1">
        <v>3.0</v>
      </c>
      <c r="N97" s="4">
        <f t="shared" si="1"/>
        <v>90</v>
      </c>
      <c r="O97" s="5">
        <f t="shared" si="2"/>
        <v>105</v>
      </c>
      <c r="P97" s="5">
        <f t="shared" si="3"/>
        <v>73.41772152</v>
      </c>
      <c r="Q97" s="5">
        <f t="shared" si="4"/>
        <v>87.77777778</v>
      </c>
      <c r="R97" s="5">
        <f t="shared" si="8"/>
        <v>105</v>
      </c>
      <c r="S97" s="5">
        <f t="shared" si="6"/>
        <v>73.41772152</v>
      </c>
      <c r="T97" s="4" t="str">
        <f t="shared" si="7"/>
        <v>✅ Star</v>
      </c>
    </row>
    <row r="98">
      <c r="A98" s="1" t="s">
        <v>28</v>
      </c>
      <c r="B98" s="1" t="s">
        <v>29</v>
      </c>
      <c r="C98" s="1" t="s">
        <v>30</v>
      </c>
      <c r="D98" s="1" t="s">
        <v>31</v>
      </c>
      <c r="E98" s="1" t="s">
        <v>32</v>
      </c>
      <c r="F98" s="1">
        <v>210.0</v>
      </c>
      <c r="G98" s="1">
        <v>15.0</v>
      </c>
      <c r="H98" s="1">
        <v>0.0</v>
      </c>
      <c r="I98" s="1">
        <v>650.0</v>
      </c>
      <c r="J98" s="1">
        <v>320.0</v>
      </c>
      <c r="K98" s="1">
        <v>1.5</v>
      </c>
      <c r="L98" s="1">
        <v>725.0</v>
      </c>
      <c r="M98" s="1">
        <v>4.0</v>
      </c>
      <c r="N98" s="4">
        <f t="shared" si="1"/>
        <v>157.5</v>
      </c>
      <c r="O98" s="5">
        <f t="shared" si="2"/>
        <v>172.5</v>
      </c>
      <c r="P98" s="5">
        <f t="shared" si="3"/>
        <v>73.46153846</v>
      </c>
      <c r="Q98" s="5">
        <f t="shared" si="4"/>
        <v>89.65517241</v>
      </c>
      <c r="R98" s="5">
        <f t="shared" si="8"/>
        <v>172.5</v>
      </c>
      <c r="S98" s="5">
        <f t="shared" si="6"/>
        <v>73.46153846</v>
      </c>
      <c r="T98" s="4" t="str">
        <f t="shared" si="7"/>
        <v>✅ Star</v>
      </c>
    </row>
    <row r="99">
      <c r="A99" s="1" t="s">
        <v>249</v>
      </c>
      <c r="B99" s="1" t="s">
        <v>250</v>
      </c>
      <c r="C99" s="1" t="s">
        <v>71</v>
      </c>
      <c r="D99" s="1" t="s">
        <v>251</v>
      </c>
      <c r="E99" s="1" t="s">
        <v>32</v>
      </c>
      <c r="F99" s="1">
        <v>6.0</v>
      </c>
      <c r="G99" s="1">
        <v>2.0</v>
      </c>
      <c r="H99" s="1">
        <v>0.0</v>
      </c>
      <c r="I99" s="1">
        <v>25.0</v>
      </c>
      <c r="J99" s="1">
        <v>1200.0</v>
      </c>
      <c r="K99" s="1">
        <v>0.2</v>
      </c>
      <c r="L99" s="1">
        <v>35.0</v>
      </c>
      <c r="M99" s="1">
        <v>1.0</v>
      </c>
      <c r="N99" s="4">
        <f t="shared" si="1"/>
        <v>4.5</v>
      </c>
      <c r="O99" s="5">
        <f t="shared" si="2"/>
        <v>6.5</v>
      </c>
      <c r="P99" s="5">
        <f t="shared" si="3"/>
        <v>74</v>
      </c>
      <c r="Q99" s="5">
        <f t="shared" si="4"/>
        <v>71.42857143</v>
      </c>
      <c r="R99" s="5">
        <f t="shared" si="8"/>
        <v>6.5</v>
      </c>
      <c r="S99" s="5">
        <f t="shared" si="6"/>
        <v>74</v>
      </c>
      <c r="T99" s="4" t="str">
        <f t="shared" si="7"/>
        <v>✅ Star</v>
      </c>
    </row>
    <row r="100">
      <c r="A100" s="1" t="s">
        <v>235</v>
      </c>
      <c r="B100" s="1" t="s">
        <v>236</v>
      </c>
      <c r="C100" s="1" t="s">
        <v>30</v>
      </c>
      <c r="D100" s="1" t="s">
        <v>237</v>
      </c>
      <c r="E100" s="1" t="s">
        <v>32</v>
      </c>
      <c r="F100" s="1">
        <v>550.0</v>
      </c>
      <c r="G100" s="1">
        <v>65.0</v>
      </c>
      <c r="H100" s="1">
        <v>0.0</v>
      </c>
      <c r="I100" s="1">
        <v>1850.0</v>
      </c>
      <c r="J100" s="1">
        <v>8.0</v>
      </c>
      <c r="K100" s="1">
        <v>4.1</v>
      </c>
      <c r="L100" s="1">
        <v>2100.0</v>
      </c>
      <c r="M100" s="1">
        <v>10.0</v>
      </c>
      <c r="N100" s="4">
        <f t="shared" si="1"/>
        <v>412.5</v>
      </c>
      <c r="O100" s="5">
        <f t="shared" si="2"/>
        <v>477.5</v>
      </c>
      <c r="P100" s="5">
        <f t="shared" si="3"/>
        <v>74.18918919</v>
      </c>
      <c r="Q100" s="5">
        <f t="shared" si="4"/>
        <v>88.0952381</v>
      </c>
      <c r="R100" s="5">
        <f t="shared" si="8"/>
        <v>477.5</v>
      </c>
      <c r="S100" s="5">
        <f t="shared" si="6"/>
        <v>74.18918919</v>
      </c>
      <c r="T100" s="4" t="str">
        <f t="shared" si="7"/>
        <v>🚀Core Range</v>
      </c>
    </row>
    <row r="101">
      <c r="A101" s="1" t="s">
        <v>104</v>
      </c>
      <c r="B101" s="1" t="s">
        <v>105</v>
      </c>
      <c r="C101" s="1" t="s">
        <v>30</v>
      </c>
      <c r="D101" s="1" t="s">
        <v>106</v>
      </c>
      <c r="E101" s="1" t="s">
        <v>32</v>
      </c>
      <c r="F101" s="1">
        <v>850.0</v>
      </c>
      <c r="G101" s="1">
        <v>65.0</v>
      </c>
      <c r="H101" s="1">
        <v>0.0</v>
      </c>
      <c r="I101" s="1">
        <v>2800.0</v>
      </c>
      <c r="J101" s="1">
        <v>12.0</v>
      </c>
      <c r="K101" s="1">
        <v>1.2</v>
      </c>
      <c r="L101" s="1">
        <v>3200.0</v>
      </c>
      <c r="M101" s="1">
        <v>8.0</v>
      </c>
      <c r="N101" s="4">
        <f t="shared" si="1"/>
        <v>637.5</v>
      </c>
      <c r="O101" s="5">
        <f t="shared" si="2"/>
        <v>702.5</v>
      </c>
      <c r="P101" s="5">
        <f t="shared" si="3"/>
        <v>74.91071429</v>
      </c>
      <c r="Q101" s="5">
        <f t="shared" si="4"/>
        <v>87.5</v>
      </c>
      <c r="R101" s="5">
        <f t="shared" si="8"/>
        <v>702.5</v>
      </c>
      <c r="S101" s="5">
        <f t="shared" si="6"/>
        <v>74.91071429</v>
      </c>
      <c r="T101" s="4" t="str">
        <f t="shared" si="7"/>
        <v>🚀Core Range</v>
      </c>
    </row>
    <row r="102">
      <c r="O102" s="5"/>
      <c r="P102" s="5"/>
    </row>
    <row r="103">
      <c r="O103" s="5"/>
      <c r="P103" s="5"/>
    </row>
    <row r="104">
      <c r="O104" s="5"/>
      <c r="P104" s="5"/>
    </row>
    <row r="105">
      <c r="O105" s="5"/>
      <c r="P105" s="5"/>
    </row>
    <row r="106">
      <c r="O106" s="5"/>
      <c r="P106" s="5"/>
    </row>
    <row r="107">
      <c r="O107" s="5"/>
      <c r="P107" s="5"/>
    </row>
    <row r="108">
      <c r="O108" s="5"/>
      <c r="P108" s="5"/>
    </row>
    <row r="109">
      <c r="O109" s="5"/>
      <c r="P109" s="5"/>
    </row>
    <row r="110">
      <c r="O110" s="5"/>
      <c r="P110" s="5"/>
    </row>
    <row r="111">
      <c r="O111" s="5"/>
      <c r="P111" s="5"/>
    </row>
    <row r="112">
      <c r="O112" s="5"/>
      <c r="P112" s="5"/>
    </row>
    <row r="113">
      <c r="O113" s="5"/>
      <c r="P113" s="5"/>
    </row>
    <row r="114">
      <c r="O114" s="5"/>
      <c r="P114" s="5"/>
    </row>
    <row r="115">
      <c r="O115" s="5"/>
      <c r="P115" s="5"/>
    </row>
    <row r="116">
      <c r="O116" s="5"/>
      <c r="P116" s="5"/>
    </row>
    <row r="117">
      <c r="O117" s="5"/>
      <c r="P117" s="5"/>
    </row>
    <row r="118">
      <c r="O118" s="5"/>
      <c r="P118" s="5"/>
    </row>
    <row r="119">
      <c r="O119" s="5"/>
      <c r="P119" s="5"/>
    </row>
    <row r="120">
      <c r="O120" s="5"/>
      <c r="P120" s="5"/>
    </row>
    <row r="121">
      <c r="O121" s="5"/>
      <c r="P121" s="5"/>
    </row>
    <row r="122">
      <c r="O122" s="5"/>
      <c r="P122" s="5"/>
    </row>
    <row r="123">
      <c r="O123" s="5"/>
      <c r="P123" s="5"/>
    </row>
    <row r="124">
      <c r="O124" s="5"/>
      <c r="P124" s="5"/>
    </row>
    <row r="125">
      <c r="O125" s="5"/>
      <c r="P125" s="5"/>
    </row>
    <row r="126">
      <c r="O126" s="5"/>
      <c r="P126" s="5"/>
    </row>
    <row r="127">
      <c r="O127" s="5"/>
      <c r="P127" s="5"/>
    </row>
    <row r="128">
      <c r="O128" s="5"/>
      <c r="P128" s="5"/>
    </row>
    <row r="129">
      <c r="O129" s="5"/>
      <c r="P129" s="5"/>
    </row>
    <row r="130">
      <c r="O130" s="5"/>
      <c r="P130" s="5"/>
    </row>
    <row r="131">
      <c r="O131" s="5"/>
      <c r="P131" s="5"/>
    </row>
    <row r="132">
      <c r="O132" s="5"/>
      <c r="P132" s="5"/>
    </row>
    <row r="133">
      <c r="O133" s="5"/>
      <c r="P133" s="5"/>
    </row>
    <row r="134">
      <c r="O134" s="5"/>
      <c r="P134" s="5"/>
    </row>
    <row r="135">
      <c r="O135" s="5"/>
      <c r="P135" s="5"/>
    </row>
    <row r="136">
      <c r="O136" s="5"/>
      <c r="P136" s="5"/>
    </row>
    <row r="137">
      <c r="O137" s="5"/>
      <c r="P137" s="5"/>
    </row>
    <row r="138">
      <c r="O138" s="5"/>
      <c r="P138" s="5"/>
    </row>
    <row r="139">
      <c r="O139" s="5"/>
      <c r="P139" s="5"/>
    </row>
    <row r="140">
      <c r="O140" s="5"/>
      <c r="P140" s="5"/>
    </row>
    <row r="141">
      <c r="O141" s="5"/>
      <c r="P141" s="5"/>
    </row>
    <row r="142">
      <c r="O142" s="5"/>
      <c r="P142" s="5"/>
    </row>
    <row r="143">
      <c r="O143" s="5"/>
      <c r="P143" s="5"/>
    </row>
    <row r="144">
      <c r="O144" s="5"/>
      <c r="P144" s="5"/>
    </row>
    <row r="145">
      <c r="O145" s="5"/>
      <c r="P145" s="5"/>
    </row>
    <row r="146">
      <c r="O146" s="5"/>
      <c r="P146" s="5"/>
    </row>
    <row r="147">
      <c r="O147" s="5"/>
      <c r="P147" s="5"/>
    </row>
    <row r="148">
      <c r="O148" s="5"/>
      <c r="P148" s="5"/>
    </row>
    <row r="149">
      <c r="O149" s="5"/>
      <c r="P149" s="5"/>
    </row>
    <row r="150">
      <c r="O150" s="5"/>
      <c r="P150" s="5"/>
    </row>
    <row r="151">
      <c r="O151" s="5"/>
      <c r="P151" s="5"/>
    </row>
    <row r="152">
      <c r="O152" s="5"/>
      <c r="P152" s="5"/>
    </row>
    <row r="153">
      <c r="O153" s="5"/>
      <c r="P153" s="5"/>
    </row>
    <row r="154">
      <c r="O154" s="5"/>
      <c r="P154" s="5"/>
    </row>
    <row r="155">
      <c r="O155" s="5"/>
      <c r="P155" s="5"/>
    </row>
    <row r="156">
      <c r="O156" s="5"/>
      <c r="P156" s="5"/>
    </row>
    <row r="157">
      <c r="O157" s="5"/>
      <c r="P157" s="5"/>
    </row>
    <row r="158">
      <c r="O158" s="5"/>
      <c r="P158" s="5"/>
    </row>
    <row r="159">
      <c r="O159" s="5"/>
      <c r="P159" s="5"/>
    </row>
    <row r="160">
      <c r="O160" s="5"/>
      <c r="P160" s="5"/>
    </row>
    <row r="161">
      <c r="O161" s="5"/>
      <c r="P161" s="5"/>
    </row>
    <row r="162">
      <c r="O162" s="5"/>
      <c r="P162" s="5"/>
    </row>
    <row r="163">
      <c r="O163" s="5"/>
      <c r="P163" s="5"/>
    </row>
    <row r="164">
      <c r="O164" s="5"/>
      <c r="P164" s="5"/>
    </row>
    <row r="165">
      <c r="O165" s="5"/>
      <c r="P165" s="5"/>
    </row>
    <row r="166">
      <c r="O166" s="5"/>
      <c r="P166" s="5"/>
    </row>
    <row r="167">
      <c r="O167" s="5"/>
      <c r="P167" s="5"/>
    </row>
    <row r="168">
      <c r="O168" s="5"/>
      <c r="P168" s="5"/>
    </row>
    <row r="169">
      <c r="O169" s="5"/>
      <c r="P169" s="5"/>
    </row>
    <row r="170">
      <c r="O170" s="5"/>
      <c r="P170" s="5"/>
    </row>
    <row r="171">
      <c r="O171" s="5"/>
      <c r="P171" s="5"/>
    </row>
    <row r="172">
      <c r="O172" s="5"/>
      <c r="P172" s="5"/>
    </row>
    <row r="173">
      <c r="O173" s="5"/>
      <c r="P173" s="5"/>
    </row>
    <row r="174">
      <c r="O174" s="5"/>
      <c r="P174" s="5"/>
    </row>
    <row r="175">
      <c r="O175" s="5"/>
      <c r="P175" s="5"/>
    </row>
    <row r="176">
      <c r="O176" s="5"/>
      <c r="P176" s="5"/>
    </row>
    <row r="177">
      <c r="O177" s="5"/>
      <c r="P177" s="5"/>
    </row>
    <row r="178">
      <c r="O178" s="5"/>
      <c r="P178" s="5"/>
    </row>
    <row r="179">
      <c r="O179" s="5"/>
      <c r="P179" s="5"/>
    </row>
    <row r="180">
      <c r="O180" s="5"/>
      <c r="P180" s="5"/>
    </row>
    <row r="181">
      <c r="O181" s="5"/>
      <c r="P181" s="5"/>
    </row>
    <row r="182">
      <c r="O182" s="5"/>
      <c r="P182" s="5"/>
    </row>
    <row r="183">
      <c r="O183" s="5"/>
      <c r="P183" s="5"/>
    </row>
    <row r="184">
      <c r="O184" s="5"/>
      <c r="P184" s="5"/>
    </row>
    <row r="185">
      <c r="O185" s="5"/>
      <c r="P185" s="5"/>
    </row>
    <row r="186">
      <c r="O186" s="5"/>
      <c r="P186" s="5"/>
    </row>
    <row r="187">
      <c r="O187" s="5"/>
      <c r="P187" s="5"/>
    </row>
    <row r="188">
      <c r="O188" s="5"/>
      <c r="P188" s="5"/>
    </row>
    <row r="189">
      <c r="O189" s="5"/>
      <c r="P189" s="5"/>
    </row>
    <row r="190">
      <c r="O190" s="5"/>
      <c r="P190" s="5"/>
    </row>
    <row r="191">
      <c r="O191" s="5"/>
      <c r="P191" s="5"/>
    </row>
    <row r="192">
      <c r="O192" s="5"/>
      <c r="P192" s="5"/>
    </row>
    <row r="193">
      <c r="O193" s="5"/>
      <c r="P193" s="5"/>
    </row>
    <row r="194">
      <c r="O194" s="5"/>
      <c r="P194" s="5"/>
    </row>
    <row r="195">
      <c r="O195" s="5"/>
      <c r="P195" s="5"/>
    </row>
    <row r="196">
      <c r="O196" s="5"/>
      <c r="P196" s="5"/>
    </row>
    <row r="197">
      <c r="O197" s="5"/>
      <c r="P197" s="5"/>
    </row>
    <row r="198">
      <c r="O198" s="5"/>
      <c r="P198" s="5"/>
    </row>
    <row r="199">
      <c r="O199" s="5"/>
      <c r="P199" s="5"/>
    </row>
    <row r="200">
      <c r="O200" s="5"/>
      <c r="P200" s="5"/>
    </row>
    <row r="201">
      <c r="O201" s="5"/>
      <c r="P201" s="5"/>
    </row>
    <row r="202">
      <c r="O202" s="5"/>
      <c r="P202" s="5"/>
    </row>
    <row r="203">
      <c r="O203" s="5"/>
      <c r="P203" s="5"/>
    </row>
    <row r="204">
      <c r="O204" s="5"/>
      <c r="P204" s="5"/>
    </row>
    <row r="205">
      <c r="O205" s="5"/>
      <c r="P205" s="5"/>
    </row>
    <row r="206">
      <c r="O206" s="5"/>
      <c r="P206" s="5"/>
    </row>
    <row r="207">
      <c r="O207" s="5"/>
      <c r="P207" s="5"/>
    </row>
    <row r="208">
      <c r="O208" s="5"/>
      <c r="P208" s="5"/>
    </row>
    <row r="209">
      <c r="O209" s="5"/>
      <c r="P209" s="5"/>
    </row>
    <row r="210">
      <c r="O210" s="5"/>
      <c r="P210" s="5"/>
    </row>
    <row r="211">
      <c r="O211" s="5"/>
      <c r="P211" s="5"/>
    </row>
    <row r="212">
      <c r="O212" s="5"/>
      <c r="P212" s="5"/>
    </row>
    <row r="213">
      <c r="O213" s="5"/>
      <c r="P213" s="5"/>
    </row>
    <row r="214">
      <c r="O214" s="5"/>
      <c r="P214" s="5"/>
    </row>
    <row r="215">
      <c r="O215" s="5"/>
      <c r="P215" s="5"/>
    </row>
    <row r="216">
      <c r="O216" s="5"/>
      <c r="P216" s="5"/>
    </row>
    <row r="217">
      <c r="O217" s="5"/>
      <c r="P217" s="5"/>
    </row>
    <row r="218">
      <c r="O218" s="5"/>
      <c r="P218" s="5"/>
    </row>
    <row r="219">
      <c r="O219" s="5"/>
      <c r="P219" s="5"/>
    </row>
    <row r="220">
      <c r="O220" s="5"/>
      <c r="P220" s="5"/>
    </row>
    <row r="221">
      <c r="O221" s="5"/>
      <c r="P221" s="5"/>
    </row>
    <row r="222">
      <c r="O222" s="5"/>
      <c r="P222" s="5"/>
    </row>
    <row r="223">
      <c r="O223" s="5"/>
      <c r="P223" s="5"/>
    </row>
    <row r="224">
      <c r="O224" s="5"/>
      <c r="P224" s="5"/>
    </row>
    <row r="225">
      <c r="O225" s="5"/>
      <c r="P225" s="5"/>
    </row>
    <row r="226">
      <c r="O226" s="5"/>
      <c r="P226" s="5"/>
    </row>
    <row r="227">
      <c r="O227" s="5"/>
      <c r="P227" s="5"/>
    </row>
    <row r="228">
      <c r="O228" s="5"/>
      <c r="P228" s="5"/>
    </row>
    <row r="229">
      <c r="O229" s="5"/>
      <c r="P229" s="5"/>
    </row>
    <row r="230">
      <c r="O230" s="5"/>
      <c r="P230" s="5"/>
    </row>
    <row r="231">
      <c r="O231" s="5"/>
      <c r="P231" s="5"/>
    </row>
    <row r="232">
      <c r="O232" s="5"/>
      <c r="P232" s="5"/>
    </row>
    <row r="233">
      <c r="O233" s="5"/>
      <c r="P233" s="5"/>
    </row>
    <row r="234">
      <c r="O234" s="5"/>
      <c r="P234" s="5"/>
    </row>
    <row r="235">
      <c r="O235" s="5"/>
      <c r="P235" s="5"/>
    </row>
    <row r="236">
      <c r="O236" s="5"/>
      <c r="P236" s="5"/>
    </row>
    <row r="237">
      <c r="O237" s="5"/>
      <c r="P237" s="5"/>
    </row>
    <row r="238">
      <c r="O238" s="5"/>
      <c r="P238" s="5"/>
    </row>
    <row r="239">
      <c r="O239" s="5"/>
      <c r="P239" s="5"/>
    </row>
    <row r="240">
      <c r="O240" s="5"/>
      <c r="P240" s="5"/>
    </row>
    <row r="241">
      <c r="O241" s="5"/>
      <c r="P241" s="5"/>
    </row>
    <row r="242">
      <c r="O242" s="5"/>
      <c r="P242" s="5"/>
    </row>
    <row r="243">
      <c r="O243" s="5"/>
      <c r="P243" s="5"/>
    </row>
    <row r="244">
      <c r="O244" s="5"/>
      <c r="P244" s="5"/>
    </row>
    <row r="245">
      <c r="O245" s="5"/>
      <c r="P245" s="5"/>
    </row>
    <row r="246">
      <c r="O246" s="5"/>
      <c r="P246" s="5"/>
    </row>
    <row r="247">
      <c r="O247" s="5"/>
      <c r="P247" s="5"/>
    </row>
    <row r="248">
      <c r="O248" s="5"/>
      <c r="P248" s="5"/>
    </row>
    <row r="249">
      <c r="O249" s="5"/>
      <c r="P249" s="5"/>
    </row>
    <row r="250">
      <c r="O250" s="5"/>
      <c r="P250" s="5"/>
    </row>
    <row r="251">
      <c r="O251" s="5"/>
      <c r="P251" s="5"/>
    </row>
    <row r="252">
      <c r="O252" s="5"/>
      <c r="P252" s="5"/>
    </row>
    <row r="253">
      <c r="O253" s="5"/>
      <c r="P253" s="5"/>
    </row>
    <row r="254">
      <c r="O254" s="5"/>
      <c r="P254" s="5"/>
    </row>
    <row r="255">
      <c r="O255" s="5"/>
      <c r="P255" s="5"/>
    </row>
    <row r="256">
      <c r="O256" s="5"/>
      <c r="P256" s="5"/>
    </row>
    <row r="257">
      <c r="O257" s="5"/>
      <c r="P257" s="5"/>
    </row>
    <row r="258">
      <c r="O258" s="5"/>
      <c r="P258" s="5"/>
    </row>
    <row r="259">
      <c r="O259" s="5"/>
      <c r="P259" s="5"/>
    </row>
    <row r="260">
      <c r="O260" s="5"/>
      <c r="P260" s="5"/>
    </row>
    <row r="261">
      <c r="O261" s="5"/>
      <c r="P261" s="5"/>
    </row>
    <row r="262">
      <c r="O262" s="5"/>
      <c r="P262" s="5"/>
    </row>
    <row r="263">
      <c r="O263" s="5"/>
      <c r="P263" s="5"/>
    </row>
    <row r="264">
      <c r="O264" s="5"/>
      <c r="P264" s="5"/>
    </row>
    <row r="265">
      <c r="O265" s="5"/>
      <c r="P265" s="5"/>
    </row>
    <row r="266">
      <c r="O266" s="5"/>
      <c r="P266" s="5"/>
    </row>
    <row r="267">
      <c r="O267" s="5"/>
      <c r="P267" s="5"/>
    </row>
    <row r="268">
      <c r="O268" s="5"/>
      <c r="P268" s="5"/>
    </row>
    <row r="269">
      <c r="O269" s="5"/>
      <c r="P269" s="5"/>
    </row>
    <row r="270">
      <c r="O270" s="5"/>
      <c r="P270" s="5"/>
    </row>
    <row r="271">
      <c r="O271" s="5"/>
      <c r="P271" s="5"/>
    </row>
    <row r="272">
      <c r="O272" s="5"/>
      <c r="P272" s="5"/>
    </row>
    <row r="273">
      <c r="O273" s="5"/>
      <c r="P273" s="5"/>
    </row>
    <row r="274">
      <c r="O274" s="5"/>
      <c r="P274" s="5"/>
    </row>
    <row r="275">
      <c r="O275" s="5"/>
      <c r="P275" s="5"/>
    </row>
    <row r="276">
      <c r="O276" s="5"/>
      <c r="P276" s="5"/>
    </row>
    <row r="277">
      <c r="O277" s="5"/>
      <c r="P277" s="5"/>
    </row>
    <row r="278">
      <c r="O278" s="5"/>
      <c r="P278" s="5"/>
    </row>
    <row r="279">
      <c r="O279" s="5"/>
      <c r="P279" s="5"/>
    </row>
    <row r="280">
      <c r="O280" s="5"/>
      <c r="P280" s="5"/>
    </row>
    <row r="281">
      <c r="O281" s="5"/>
      <c r="P281" s="5"/>
    </row>
    <row r="282">
      <c r="O282" s="5"/>
      <c r="P282" s="5"/>
    </row>
    <row r="283">
      <c r="O283" s="5"/>
      <c r="P283" s="5"/>
    </row>
    <row r="284">
      <c r="O284" s="5"/>
      <c r="P284" s="5"/>
    </row>
    <row r="285">
      <c r="O285" s="5"/>
      <c r="P285" s="5"/>
    </row>
    <row r="286">
      <c r="O286" s="5"/>
      <c r="P286" s="5"/>
    </row>
    <row r="287">
      <c r="O287" s="5"/>
      <c r="P287" s="5"/>
    </row>
    <row r="288">
      <c r="O288" s="5"/>
      <c r="P288" s="5"/>
    </row>
    <row r="289">
      <c r="O289" s="5"/>
      <c r="P289" s="5"/>
    </row>
    <row r="290">
      <c r="O290" s="5"/>
      <c r="P290" s="5"/>
    </row>
    <row r="291">
      <c r="O291" s="5"/>
      <c r="P291" s="5"/>
    </row>
    <row r="292">
      <c r="O292" s="5"/>
      <c r="P292" s="5"/>
    </row>
    <row r="293">
      <c r="O293" s="5"/>
      <c r="P293" s="5"/>
    </row>
    <row r="294">
      <c r="O294" s="5"/>
      <c r="P294" s="5"/>
    </row>
    <row r="295">
      <c r="O295" s="5"/>
      <c r="P295" s="5"/>
    </row>
    <row r="296">
      <c r="O296" s="5"/>
      <c r="P296" s="5"/>
    </row>
    <row r="297">
      <c r="O297" s="5"/>
      <c r="P297" s="5"/>
    </row>
    <row r="298">
      <c r="O298" s="5"/>
      <c r="P298" s="5"/>
    </row>
    <row r="299">
      <c r="O299" s="5"/>
      <c r="P299" s="5"/>
    </row>
    <row r="300">
      <c r="O300" s="5"/>
      <c r="P300" s="5"/>
    </row>
    <row r="301">
      <c r="O301" s="5"/>
      <c r="P301" s="5"/>
    </row>
    <row r="302">
      <c r="O302" s="5"/>
      <c r="P302" s="5"/>
    </row>
    <row r="303">
      <c r="O303" s="5"/>
      <c r="P303" s="5"/>
    </row>
    <row r="304">
      <c r="O304" s="5"/>
      <c r="P304" s="5"/>
    </row>
    <row r="305">
      <c r="O305" s="5"/>
      <c r="P305" s="5"/>
    </row>
    <row r="306">
      <c r="O306" s="5"/>
      <c r="P306" s="5"/>
    </row>
    <row r="307">
      <c r="O307" s="5"/>
      <c r="P307" s="5"/>
    </row>
    <row r="308">
      <c r="O308" s="5"/>
      <c r="P308" s="5"/>
    </row>
    <row r="309">
      <c r="O309" s="5"/>
      <c r="P309" s="5"/>
    </row>
    <row r="310">
      <c r="O310" s="5"/>
      <c r="P310" s="5"/>
    </row>
    <row r="311">
      <c r="O311" s="5"/>
      <c r="P311" s="5"/>
    </row>
    <row r="312">
      <c r="O312" s="5"/>
      <c r="P312" s="5"/>
    </row>
    <row r="313">
      <c r="O313" s="5"/>
      <c r="P313" s="5"/>
    </row>
    <row r="314">
      <c r="O314" s="5"/>
      <c r="P314" s="5"/>
    </row>
    <row r="315">
      <c r="O315" s="5"/>
      <c r="P315" s="5"/>
    </row>
    <row r="316">
      <c r="O316" s="5"/>
      <c r="P316" s="5"/>
    </row>
    <row r="317">
      <c r="O317" s="5"/>
      <c r="P317" s="5"/>
    </row>
    <row r="318">
      <c r="O318" s="5"/>
      <c r="P318" s="5"/>
    </row>
    <row r="319">
      <c r="O319" s="5"/>
      <c r="P319" s="5"/>
    </row>
    <row r="320">
      <c r="O320" s="5"/>
      <c r="P320" s="5"/>
    </row>
    <row r="321">
      <c r="O321" s="5"/>
      <c r="P321" s="5"/>
    </row>
    <row r="322">
      <c r="O322" s="5"/>
      <c r="P322" s="5"/>
    </row>
    <row r="323">
      <c r="O323" s="5"/>
      <c r="P323" s="5"/>
    </row>
    <row r="324">
      <c r="O324" s="5"/>
      <c r="P324" s="5"/>
    </row>
    <row r="325">
      <c r="O325" s="5"/>
      <c r="P325" s="5"/>
    </row>
    <row r="326">
      <c r="O326" s="5"/>
      <c r="P326" s="5"/>
    </row>
    <row r="327">
      <c r="O327" s="5"/>
      <c r="P327" s="5"/>
    </row>
    <row r="328">
      <c r="O328" s="5"/>
      <c r="P328" s="5"/>
    </row>
    <row r="329">
      <c r="O329" s="5"/>
      <c r="P329" s="5"/>
    </row>
    <row r="330">
      <c r="O330" s="5"/>
      <c r="P330" s="5"/>
    </row>
    <row r="331">
      <c r="O331" s="5"/>
      <c r="P331" s="5"/>
    </row>
    <row r="332">
      <c r="O332" s="5"/>
      <c r="P332" s="5"/>
    </row>
    <row r="333">
      <c r="O333" s="5"/>
      <c r="P333" s="5"/>
    </row>
    <row r="334">
      <c r="O334" s="5"/>
      <c r="P334" s="5"/>
    </row>
    <row r="335">
      <c r="O335" s="5"/>
      <c r="P335" s="5"/>
    </row>
    <row r="336">
      <c r="O336" s="5"/>
      <c r="P336" s="5"/>
    </row>
    <row r="337">
      <c r="O337" s="5"/>
      <c r="P337" s="5"/>
    </row>
    <row r="338">
      <c r="O338" s="5"/>
      <c r="P338" s="5"/>
    </row>
    <row r="339">
      <c r="O339" s="5"/>
      <c r="P339" s="5"/>
    </row>
    <row r="340">
      <c r="O340" s="5"/>
      <c r="P340" s="5"/>
    </row>
    <row r="341">
      <c r="O341" s="5"/>
      <c r="P341" s="5"/>
    </row>
    <row r="342">
      <c r="O342" s="5"/>
      <c r="P342" s="5"/>
    </row>
    <row r="343">
      <c r="O343" s="5"/>
      <c r="P343" s="5"/>
    </row>
    <row r="344">
      <c r="O344" s="5"/>
      <c r="P344" s="5"/>
    </row>
    <row r="345">
      <c r="O345" s="5"/>
      <c r="P345" s="5"/>
    </row>
    <row r="346">
      <c r="O346" s="5"/>
      <c r="P346" s="5"/>
    </row>
    <row r="347">
      <c r="O347" s="5"/>
      <c r="P347" s="5"/>
    </row>
    <row r="348">
      <c r="O348" s="5"/>
      <c r="P348" s="5"/>
    </row>
    <row r="349">
      <c r="O349" s="5"/>
      <c r="P349" s="5"/>
    </row>
    <row r="350">
      <c r="O350" s="5"/>
      <c r="P350" s="5"/>
    </row>
    <row r="351">
      <c r="O351" s="5"/>
      <c r="P351" s="5"/>
    </row>
    <row r="352">
      <c r="O352" s="5"/>
      <c r="P352" s="5"/>
    </row>
    <row r="353">
      <c r="O353" s="5"/>
      <c r="P353" s="5"/>
    </row>
    <row r="354">
      <c r="O354" s="5"/>
      <c r="P354" s="5"/>
    </row>
    <row r="355">
      <c r="O355" s="5"/>
      <c r="P355" s="5"/>
    </row>
    <row r="356">
      <c r="O356" s="5"/>
      <c r="P356" s="5"/>
    </row>
    <row r="357">
      <c r="O357" s="5"/>
      <c r="P357" s="5"/>
    </row>
    <row r="358">
      <c r="O358" s="5"/>
      <c r="P358" s="5"/>
    </row>
    <row r="359">
      <c r="O359" s="5"/>
      <c r="P359" s="5"/>
    </row>
    <row r="360">
      <c r="O360" s="5"/>
      <c r="P360" s="5"/>
    </row>
    <row r="361">
      <c r="O361" s="5"/>
      <c r="P361" s="5"/>
    </row>
    <row r="362">
      <c r="O362" s="5"/>
      <c r="P362" s="5"/>
    </row>
    <row r="363">
      <c r="O363" s="5"/>
      <c r="P363" s="5"/>
    </row>
    <row r="364">
      <c r="O364" s="5"/>
      <c r="P364" s="5"/>
    </row>
    <row r="365">
      <c r="O365" s="5"/>
      <c r="P365" s="5"/>
    </row>
    <row r="366">
      <c r="O366" s="5"/>
      <c r="P366" s="5"/>
    </row>
    <row r="367">
      <c r="O367" s="5"/>
      <c r="P367" s="5"/>
    </row>
    <row r="368">
      <c r="O368" s="5"/>
      <c r="P368" s="5"/>
    </row>
    <row r="369">
      <c r="O369" s="5"/>
      <c r="P369" s="5"/>
    </row>
    <row r="370">
      <c r="O370" s="5"/>
      <c r="P370" s="5"/>
    </row>
    <row r="371">
      <c r="O371" s="5"/>
      <c r="P371" s="5"/>
    </row>
    <row r="372">
      <c r="O372" s="5"/>
      <c r="P372" s="5"/>
    </row>
    <row r="373">
      <c r="O373" s="5"/>
      <c r="P373" s="5"/>
    </row>
    <row r="374">
      <c r="O374" s="5"/>
      <c r="P374" s="5"/>
    </row>
    <row r="375">
      <c r="O375" s="5"/>
      <c r="P375" s="5"/>
    </row>
    <row r="376">
      <c r="O376" s="5"/>
      <c r="P376" s="5"/>
    </row>
    <row r="377">
      <c r="O377" s="5"/>
      <c r="P377" s="5"/>
    </row>
    <row r="378">
      <c r="O378" s="5"/>
      <c r="P378" s="5"/>
    </row>
    <row r="379">
      <c r="O379" s="5"/>
      <c r="P379" s="5"/>
    </row>
    <row r="380">
      <c r="O380" s="5"/>
      <c r="P380" s="5"/>
    </row>
    <row r="381">
      <c r="O381" s="5"/>
      <c r="P381" s="5"/>
    </row>
    <row r="382">
      <c r="O382" s="5"/>
      <c r="P382" s="5"/>
    </row>
    <row r="383">
      <c r="O383" s="5"/>
      <c r="P383" s="5"/>
    </row>
    <row r="384">
      <c r="O384" s="5"/>
      <c r="P384" s="5"/>
    </row>
    <row r="385">
      <c r="O385" s="5"/>
      <c r="P385" s="5"/>
    </row>
    <row r="386">
      <c r="O386" s="5"/>
      <c r="P386" s="5"/>
    </row>
    <row r="387">
      <c r="O387" s="5"/>
      <c r="P387" s="5"/>
    </row>
    <row r="388">
      <c r="O388" s="5"/>
      <c r="P388" s="5"/>
    </row>
    <row r="389">
      <c r="O389" s="5"/>
      <c r="P389" s="5"/>
    </row>
    <row r="390">
      <c r="O390" s="5"/>
      <c r="P390" s="5"/>
    </row>
    <row r="391">
      <c r="O391" s="5"/>
      <c r="P391" s="5"/>
    </row>
    <row r="392">
      <c r="O392" s="5"/>
      <c r="P392" s="5"/>
    </row>
    <row r="393">
      <c r="O393" s="5"/>
      <c r="P393" s="5"/>
    </row>
    <row r="394">
      <c r="O394" s="5"/>
      <c r="P394" s="5"/>
    </row>
    <row r="395">
      <c r="O395" s="5"/>
      <c r="P395" s="5"/>
    </row>
    <row r="396">
      <c r="O396" s="5"/>
      <c r="P396" s="5"/>
    </row>
    <row r="397">
      <c r="O397" s="5"/>
      <c r="P397" s="5"/>
    </row>
    <row r="398">
      <c r="O398" s="5"/>
      <c r="P398" s="5"/>
    </row>
    <row r="399">
      <c r="O399" s="5"/>
      <c r="P399" s="5"/>
    </row>
    <row r="400">
      <c r="O400" s="5"/>
      <c r="P400" s="5"/>
    </row>
    <row r="401">
      <c r="O401" s="5"/>
      <c r="P401" s="5"/>
    </row>
    <row r="402">
      <c r="O402" s="5"/>
      <c r="P402" s="5"/>
    </row>
    <row r="403">
      <c r="O403" s="5"/>
      <c r="P403" s="5"/>
    </row>
    <row r="404">
      <c r="O404" s="5"/>
      <c r="P404" s="5"/>
    </row>
    <row r="405">
      <c r="O405" s="5"/>
      <c r="P405" s="5"/>
    </row>
    <row r="406">
      <c r="O406" s="5"/>
      <c r="P406" s="5"/>
    </row>
    <row r="407">
      <c r="O407" s="5"/>
      <c r="P407" s="5"/>
    </row>
    <row r="408">
      <c r="O408" s="5"/>
      <c r="P408" s="5"/>
    </row>
    <row r="409">
      <c r="O409" s="5"/>
      <c r="P409" s="5"/>
    </row>
    <row r="410">
      <c r="O410" s="5"/>
      <c r="P410" s="5"/>
    </row>
    <row r="411">
      <c r="O411" s="5"/>
      <c r="P411" s="5"/>
    </row>
    <row r="412">
      <c r="O412" s="5"/>
      <c r="P412" s="5"/>
    </row>
    <row r="413">
      <c r="O413" s="5"/>
      <c r="P413" s="5"/>
    </row>
    <row r="414">
      <c r="O414" s="5"/>
      <c r="P414" s="5"/>
    </row>
    <row r="415">
      <c r="O415" s="5"/>
      <c r="P415" s="5"/>
    </row>
    <row r="416">
      <c r="O416" s="5"/>
      <c r="P416" s="5"/>
    </row>
    <row r="417">
      <c r="O417" s="5"/>
      <c r="P417" s="5"/>
    </row>
    <row r="418">
      <c r="O418" s="5"/>
      <c r="P418" s="5"/>
    </row>
    <row r="419">
      <c r="O419" s="5"/>
      <c r="P419" s="5"/>
    </row>
    <row r="420">
      <c r="O420" s="5"/>
      <c r="P420" s="5"/>
    </row>
    <row r="421">
      <c r="O421" s="5"/>
      <c r="P421" s="5"/>
    </row>
    <row r="422">
      <c r="O422" s="5"/>
      <c r="P422" s="5"/>
    </row>
    <row r="423">
      <c r="O423" s="5"/>
      <c r="P423" s="5"/>
    </row>
    <row r="424">
      <c r="O424" s="5"/>
      <c r="P424" s="5"/>
    </row>
    <row r="425">
      <c r="O425" s="5"/>
      <c r="P425" s="5"/>
    </row>
    <row r="426">
      <c r="O426" s="5"/>
      <c r="P426" s="5"/>
    </row>
    <row r="427">
      <c r="O427" s="5"/>
      <c r="P427" s="5"/>
    </row>
    <row r="428">
      <c r="O428" s="5"/>
      <c r="P428" s="5"/>
    </row>
    <row r="429">
      <c r="O429" s="5"/>
      <c r="P429" s="5"/>
    </row>
    <row r="430">
      <c r="O430" s="5"/>
      <c r="P430" s="5"/>
    </row>
    <row r="431">
      <c r="O431" s="5"/>
      <c r="P431" s="5"/>
    </row>
    <row r="432">
      <c r="O432" s="5"/>
      <c r="P432" s="5"/>
    </row>
    <row r="433">
      <c r="O433" s="5"/>
      <c r="P433" s="5"/>
    </row>
    <row r="434">
      <c r="O434" s="5"/>
      <c r="P434" s="5"/>
    </row>
    <row r="435">
      <c r="O435" s="5"/>
      <c r="P435" s="5"/>
    </row>
    <row r="436">
      <c r="O436" s="5"/>
      <c r="P436" s="5"/>
    </row>
    <row r="437">
      <c r="O437" s="5"/>
      <c r="P437" s="5"/>
    </row>
    <row r="438">
      <c r="O438" s="5"/>
      <c r="P438" s="5"/>
    </row>
    <row r="439">
      <c r="O439" s="5"/>
      <c r="P439" s="5"/>
    </row>
    <row r="440">
      <c r="O440" s="5"/>
      <c r="P440" s="5"/>
    </row>
    <row r="441">
      <c r="O441" s="5"/>
      <c r="P441" s="5"/>
    </row>
    <row r="442">
      <c r="O442" s="5"/>
      <c r="P442" s="5"/>
    </row>
    <row r="443">
      <c r="O443" s="5"/>
      <c r="P443" s="5"/>
    </row>
    <row r="444">
      <c r="O444" s="5"/>
      <c r="P444" s="5"/>
    </row>
    <row r="445">
      <c r="O445" s="5"/>
      <c r="P445" s="5"/>
    </row>
    <row r="446">
      <c r="O446" s="5"/>
      <c r="P446" s="5"/>
    </row>
    <row r="447">
      <c r="O447" s="5"/>
      <c r="P447" s="5"/>
    </row>
    <row r="448">
      <c r="O448" s="5"/>
      <c r="P448" s="5"/>
    </row>
    <row r="449">
      <c r="O449" s="5"/>
      <c r="P449" s="5"/>
    </row>
    <row r="450">
      <c r="O450" s="5"/>
      <c r="P450" s="5"/>
    </row>
    <row r="451">
      <c r="O451" s="5"/>
      <c r="P451" s="5"/>
    </row>
    <row r="452">
      <c r="O452" s="5"/>
      <c r="P452" s="5"/>
    </row>
    <row r="453">
      <c r="O453" s="5"/>
      <c r="P453" s="5"/>
    </row>
    <row r="454">
      <c r="O454" s="5"/>
      <c r="P454" s="5"/>
    </row>
    <row r="455">
      <c r="O455" s="5"/>
      <c r="P455" s="5"/>
    </row>
    <row r="456">
      <c r="O456" s="5"/>
      <c r="P456" s="5"/>
    </row>
    <row r="457">
      <c r="O457" s="5"/>
      <c r="P457" s="5"/>
    </row>
    <row r="458">
      <c r="O458" s="5"/>
      <c r="P458" s="5"/>
    </row>
    <row r="459">
      <c r="O459" s="5"/>
      <c r="P459" s="5"/>
    </row>
    <row r="460">
      <c r="O460" s="5"/>
      <c r="P460" s="5"/>
    </row>
    <row r="461">
      <c r="O461" s="5"/>
      <c r="P461" s="5"/>
    </row>
    <row r="462">
      <c r="O462" s="5"/>
      <c r="P462" s="5"/>
    </row>
    <row r="463">
      <c r="O463" s="5"/>
      <c r="P463" s="5"/>
    </row>
    <row r="464">
      <c r="O464" s="5"/>
      <c r="P464" s="5"/>
    </row>
    <row r="465">
      <c r="O465" s="5"/>
      <c r="P465" s="5"/>
    </row>
    <row r="466">
      <c r="O466" s="5"/>
      <c r="P466" s="5"/>
    </row>
    <row r="467">
      <c r="O467" s="5"/>
      <c r="P467" s="5"/>
    </row>
    <row r="468">
      <c r="O468" s="5"/>
      <c r="P468" s="5"/>
    </row>
    <row r="469">
      <c r="O469" s="5"/>
      <c r="P469" s="5"/>
    </row>
    <row r="470">
      <c r="O470" s="5"/>
      <c r="P470" s="5"/>
    </row>
    <row r="471">
      <c r="O471" s="5"/>
      <c r="P471" s="5"/>
    </row>
    <row r="472">
      <c r="O472" s="5"/>
      <c r="P472" s="5"/>
    </row>
    <row r="473">
      <c r="O473" s="5"/>
      <c r="P473" s="5"/>
    </row>
    <row r="474">
      <c r="O474" s="5"/>
      <c r="P474" s="5"/>
    </row>
    <row r="475">
      <c r="O475" s="5"/>
      <c r="P475" s="5"/>
    </row>
    <row r="476">
      <c r="O476" s="5"/>
      <c r="P476" s="5"/>
    </row>
    <row r="477">
      <c r="O477" s="5"/>
      <c r="P477" s="5"/>
    </row>
    <row r="478">
      <c r="O478" s="5"/>
      <c r="P478" s="5"/>
    </row>
    <row r="479">
      <c r="O479" s="5"/>
      <c r="P479" s="5"/>
    </row>
    <row r="480">
      <c r="O480" s="5"/>
      <c r="P480" s="5"/>
    </row>
    <row r="481">
      <c r="O481" s="5"/>
      <c r="P481" s="5"/>
    </row>
    <row r="482">
      <c r="O482" s="5"/>
      <c r="P482" s="5"/>
    </row>
    <row r="483">
      <c r="O483" s="5"/>
      <c r="P483" s="5"/>
    </row>
    <row r="484">
      <c r="O484" s="5"/>
      <c r="P484" s="5"/>
    </row>
    <row r="485">
      <c r="O485" s="5"/>
      <c r="P485" s="5"/>
    </row>
    <row r="486">
      <c r="O486" s="5"/>
      <c r="P486" s="5"/>
    </row>
    <row r="487">
      <c r="O487" s="5"/>
      <c r="P487" s="5"/>
    </row>
    <row r="488">
      <c r="O488" s="5"/>
      <c r="P488" s="5"/>
    </row>
    <row r="489">
      <c r="O489" s="5"/>
      <c r="P489" s="5"/>
    </row>
    <row r="490">
      <c r="O490" s="5"/>
      <c r="P490" s="5"/>
    </row>
    <row r="491">
      <c r="O491" s="5"/>
      <c r="P491" s="5"/>
    </row>
    <row r="492">
      <c r="O492" s="5"/>
      <c r="P492" s="5"/>
    </row>
    <row r="493">
      <c r="O493" s="5"/>
      <c r="P493" s="5"/>
    </row>
    <row r="494">
      <c r="O494" s="5"/>
      <c r="P494" s="5"/>
    </row>
    <row r="495">
      <c r="O495" s="5"/>
      <c r="P495" s="5"/>
    </row>
    <row r="496">
      <c r="O496" s="5"/>
      <c r="P496" s="5"/>
    </row>
    <row r="497">
      <c r="O497" s="5"/>
      <c r="P497" s="5"/>
    </row>
    <row r="498">
      <c r="O498" s="5"/>
      <c r="P498" s="5"/>
    </row>
    <row r="499">
      <c r="O499" s="5"/>
      <c r="P499" s="5"/>
    </row>
    <row r="500">
      <c r="O500" s="5"/>
      <c r="P500" s="5"/>
    </row>
    <row r="501">
      <c r="O501" s="5"/>
      <c r="P501" s="5"/>
    </row>
    <row r="502">
      <c r="O502" s="5"/>
      <c r="P502" s="5"/>
    </row>
    <row r="503">
      <c r="O503" s="5"/>
      <c r="P503" s="5"/>
    </row>
    <row r="504">
      <c r="O504" s="5"/>
      <c r="P504" s="5"/>
    </row>
    <row r="505">
      <c r="O505" s="5"/>
      <c r="P505" s="5"/>
    </row>
    <row r="506">
      <c r="O506" s="5"/>
      <c r="P506" s="5"/>
    </row>
    <row r="507">
      <c r="O507" s="5"/>
      <c r="P507" s="5"/>
    </row>
    <row r="508">
      <c r="O508" s="5"/>
      <c r="P508" s="5"/>
    </row>
    <row r="509">
      <c r="O509" s="5"/>
      <c r="P509" s="5"/>
    </row>
    <row r="510">
      <c r="O510" s="5"/>
      <c r="P510" s="5"/>
    </row>
    <row r="511">
      <c r="O511" s="5"/>
      <c r="P511" s="5"/>
    </row>
    <row r="512">
      <c r="O512" s="5"/>
      <c r="P512" s="5"/>
    </row>
    <row r="513">
      <c r="O513" s="5"/>
      <c r="P513" s="5"/>
    </row>
    <row r="514">
      <c r="O514" s="5"/>
      <c r="P514" s="5"/>
    </row>
    <row r="515">
      <c r="O515" s="5"/>
      <c r="P515" s="5"/>
    </row>
    <row r="516">
      <c r="O516" s="5"/>
      <c r="P516" s="5"/>
    </row>
    <row r="517">
      <c r="O517" s="5"/>
      <c r="P517" s="5"/>
    </row>
    <row r="518">
      <c r="O518" s="5"/>
      <c r="P518" s="5"/>
    </row>
    <row r="519">
      <c r="O519" s="5"/>
      <c r="P519" s="5"/>
    </row>
    <row r="520">
      <c r="O520" s="5"/>
      <c r="P520" s="5"/>
    </row>
    <row r="521">
      <c r="O521" s="5"/>
      <c r="P521" s="5"/>
    </row>
    <row r="522">
      <c r="O522" s="5"/>
      <c r="P522" s="5"/>
    </row>
    <row r="523">
      <c r="O523" s="5"/>
      <c r="P523" s="5"/>
    </row>
    <row r="524">
      <c r="O524" s="5"/>
      <c r="P524" s="5"/>
    </row>
    <row r="525">
      <c r="O525" s="5"/>
      <c r="P525" s="5"/>
    </row>
    <row r="526">
      <c r="O526" s="5"/>
      <c r="P526" s="5"/>
    </row>
    <row r="527">
      <c r="O527" s="5"/>
      <c r="P527" s="5"/>
    </row>
    <row r="528">
      <c r="O528" s="5"/>
      <c r="P528" s="5"/>
    </row>
    <row r="529">
      <c r="O529" s="5"/>
      <c r="P529" s="5"/>
    </row>
    <row r="530">
      <c r="O530" s="5"/>
      <c r="P530" s="5"/>
    </row>
    <row r="531">
      <c r="O531" s="5"/>
      <c r="P531" s="5"/>
    </row>
    <row r="532">
      <c r="O532" s="5"/>
      <c r="P532" s="5"/>
    </row>
    <row r="533">
      <c r="O533" s="5"/>
      <c r="P533" s="5"/>
    </row>
    <row r="534">
      <c r="O534" s="5"/>
      <c r="P534" s="5"/>
    </row>
    <row r="535">
      <c r="O535" s="5"/>
      <c r="P535" s="5"/>
    </row>
    <row r="536">
      <c r="O536" s="5"/>
      <c r="P536" s="5"/>
    </row>
    <row r="537">
      <c r="O537" s="5"/>
      <c r="P537" s="5"/>
    </row>
    <row r="538">
      <c r="O538" s="5"/>
      <c r="P538" s="5"/>
    </row>
    <row r="539">
      <c r="O539" s="5"/>
      <c r="P539" s="5"/>
    </row>
    <row r="540">
      <c r="O540" s="5"/>
      <c r="P540" s="5"/>
    </row>
    <row r="541">
      <c r="O541" s="5"/>
      <c r="P541" s="5"/>
    </row>
    <row r="542">
      <c r="O542" s="5"/>
      <c r="P542" s="5"/>
    </row>
    <row r="543">
      <c r="O543" s="5"/>
      <c r="P543" s="5"/>
    </row>
    <row r="544">
      <c r="O544" s="5"/>
      <c r="P544" s="5"/>
    </row>
    <row r="545">
      <c r="O545" s="5"/>
      <c r="P545" s="5"/>
    </row>
    <row r="546">
      <c r="O546" s="5"/>
      <c r="P546" s="5"/>
    </row>
    <row r="547">
      <c r="O547" s="5"/>
      <c r="P547" s="5"/>
    </row>
    <row r="548">
      <c r="O548" s="5"/>
      <c r="P548" s="5"/>
    </row>
    <row r="549">
      <c r="O549" s="5"/>
      <c r="P549" s="5"/>
    </row>
    <row r="550">
      <c r="O550" s="5"/>
      <c r="P550" s="5"/>
    </row>
    <row r="551">
      <c r="O551" s="5"/>
      <c r="P551" s="5"/>
    </row>
    <row r="552">
      <c r="O552" s="5"/>
      <c r="P552" s="5"/>
    </row>
    <row r="553">
      <c r="O553" s="5"/>
      <c r="P553" s="5"/>
    </row>
    <row r="554">
      <c r="O554" s="5"/>
      <c r="P554" s="5"/>
    </row>
    <row r="555">
      <c r="O555" s="5"/>
      <c r="P555" s="5"/>
    </row>
    <row r="556">
      <c r="O556" s="5"/>
      <c r="P556" s="5"/>
    </row>
    <row r="557">
      <c r="O557" s="5"/>
      <c r="P557" s="5"/>
    </row>
    <row r="558">
      <c r="O558" s="5"/>
      <c r="P558" s="5"/>
    </row>
    <row r="559">
      <c r="O559" s="5"/>
      <c r="P559" s="5"/>
    </row>
    <row r="560">
      <c r="O560" s="5"/>
      <c r="P560" s="5"/>
    </row>
    <row r="561">
      <c r="O561" s="5"/>
      <c r="P561" s="5"/>
    </row>
    <row r="562">
      <c r="O562" s="5"/>
      <c r="P562" s="5"/>
    </row>
    <row r="563">
      <c r="O563" s="5"/>
      <c r="P563" s="5"/>
    </row>
    <row r="564">
      <c r="O564" s="5"/>
      <c r="P564" s="5"/>
    </row>
    <row r="565">
      <c r="O565" s="5"/>
      <c r="P565" s="5"/>
    </row>
    <row r="566">
      <c r="O566" s="5"/>
      <c r="P566" s="5"/>
    </row>
    <row r="567">
      <c r="O567" s="5"/>
      <c r="P567" s="5"/>
    </row>
    <row r="568">
      <c r="O568" s="5"/>
      <c r="P568" s="5"/>
    </row>
    <row r="569">
      <c r="O569" s="5"/>
      <c r="P569" s="5"/>
    </row>
    <row r="570">
      <c r="O570" s="5"/>
      <c r="P570" s="5"/>
    </row>
    <row r="571">
      <c r="O571" s="5"/>
      <c r="P571" s="5"/>
    </row>
    <row r="572">
      <c r="O572" s="5"/>
      <c r="P572" s="5"/>
    </row>
    <row r="573">
      <c r="O573" s="5"/>
      <c r="P573" s="5"/>
    </row>
    <row r="574">
      <c r="O574" s="5"/>
      <c r="P574" s="5"/>
    </row>
    <row r="575">
      <c r="O575" s="5"/>
      <c r="P575" s="5"/>
    </row>
    <row r="576">
      <c r="O576" s="5"/>
      <c r="P576" s="5"/>
    </row>
    <row r="577">
      <c r="O577" s="5"/>
      <c r="P577" s="5"/>
    </row>
    <row r="578">
      <c r="O578" s="5"/>
      <c r="P578" s="5"/>
    </row>
    <row r="579">
      <c r="O579" s="5"/>
      <c r="P579" s="5"/>
    </row>
    <row r="580">
      <c r="O580" s="5"/>
      <c r="P580" s="5"/>
    </row>
    <row r="581">
      <c r="O581" s="5"/>
      <c r="P581" s="5"/>
    </row>
    <row r="582">
      <c r="O582" s="5"/>
      <c r="P582" s="5"/>
    </row>
    <row r="583">
      <c r="O583" s="5"/>
      <c r="P583" s="5"/>
    </row>
    <row r="584">
      <c r="O584" s="5"/>
      <c r="P584" s="5"/>
    </row>
    <row r="585">
      <c r="O585" s="5"/>
      <c r="P585" s="5"/>
    </row>
    <row r="586">
      <c r="O586" s="5"/>
      <c r="P586" s="5"/>
    </row>
    <row r="587">
      <c r="O587" s="5"/>
      <c r="P587" s="5"/>
    </row>
    <row r="588">
      <c r="O588" s="5"/>
      <c r="P588" s="5"/>
    </row>
    <row r="589">
      <c r="O589" s="5"/>
      <c r="P589" s="5"/>
    </row>
    <row r="590">
      <c r="O590" s="5"/>
      <c r="P590" s="5"/>
    </row>
    <row r="591">
      <c r="O591" s="5"/>
      <c r="P591" s="5"/>
    </row>
    <row r="592">
      <c r="O592" s="5"/>
      <c r="P592" s="5"/>
    </row>
    <row r="593">
      <c r="O593" s="5"/>
      <c r="P593" s="5"/>
    </row>
    <row r="594">
      <c r="O594" s="5"/>
      <c r="P594" s="5"/>
    </row>
    <row r="595">
      <c r="O595" s="5"/>
      <c r="P595" s="5"/>
    </row>
    <row r="596">
      <c r="O596" s="5"/>
      <c r="P596" s="5"/>
    </row>
    <row r="597">
      <c r="O597" s="5"/>
      <c r="P597" s="5"/>
    </row>
    <row r="598">
      <c r="O598" s="5"/>
      <c r="P598" s="5"/>
    </row>
    <row r="599">
      <c r="O599" s="5"/>
      <c r="P599" s="5"/>
    </row>
    <row r="600">
      <c r="O600" s="5"/>
      <c r="P600" s="5"/>
    </row>
    <row r="601">
      <c r="O601" s="5"/>
      <c r="P601" s="5"/>
    </row>
    <row r="602">
      <c r="O602" s="5"/>
      <c r="P602" s="5"/>
    </row>
    <row r="603">
      <c r="O603" s="5"/>
      <c r="P603" s="5"/>
    </row>
    <row r="604">
      <c r="O604" s="5"/>
      <c r="P604" s="5"/>
    </row>
    <row r="605">
      <c r="O605" s="5"/>
      <c r="P605" s="5"/>
    </row>
    <row r="606">
      <c r="O606" s="5"/>
      <c r="P606" s="5"/>
    </row>
    <row r="607">
      <c r="O607" s="5"/>
      <c r="P607" s="5"/>
    </row>
    <row r="608">
      <c r="O608" s="5"/>
      <c r="P608" s="5"/>
    </row>
    <row r="609">
      <c r="O609" s="5"/>
      <c r="P609" s="5"/>
    </row>
    <row r="610">
      <c r="O610" s="5"/>
      <c r="P610" s="5"/>
    </row>
    <row r="611">
      <c r="O611" s="5"/>
      <c r="P611" s="5"/>
    </row>
    <row r="612">
      <c r="O612" s="5"/>
      <c r="P612" s="5"/>
    </row>
    <row r="613">
      <c r="O613" s="5"/>
      <c r="P613" s="5"/>
    </row>
    <row r="614">
      <c r="O614" s="5"/>
      <c r="P614" s="5"/>
    </row>
    <row r="615">
      <c r="O615" s="5"/>
      <c r="P615" s="5"/>
    </row>
    <row r="616">
      <c r="O616" s="5"/>
      <c r="P616" s="5"/>
    </row>
    <row r="617">
      <c r="O617" s="5"/>
      <c r="P617" s="5"/>
    </row>
    <row r="618">
      <c r="O618" s="5"/>
      <c r="P618" s="5"/>
    </row>
    <row r="619">
      <c r="O619" s="5"/>
      <c r="P619" s="5"/>
    </row>
    <row r="620">
      <c r="O620" s="5"/>
      <c r="P620" s="5"/>
    </row>
    <row r="621">
      <c r="O621" s="5"/>
      <c r="P621" s="5"/>
    </row>
    <row r="622">
      <c r="O622" s="5"/>
      <c r="P622" s="5"/>
    </row>
    <row r="623">
      <c r="O623" s="5"/>
      <c r="P623" s="5"/>
    </row>
    <row r="624">
      <c r="O624" s="5"/>
      <c r="P624" s="5"/>
    </row>
    <row r="625">
      <c r="O625" s="5"/>
      <c r="P625" s="5"/>
    </row>
    <row r="626">
      <c r="O626" s="5"/>
      <c r="P626" s="5"/>
    </row>
    <row r="627">
      <c r="O627" s="5"/>
      <c r="P627" s="5"/>
    </row>
    <row r="628">
      <c r="O628" s="5"/>
      <c r="P628" s="5"/>
    </row>
    <row r="629">
      <c r="O629" s="5"/>
      <c r="P629" s="5"/>
    </row>
    <row r="630">
      <c r="O630" s="5"/>
      <c r="P630" s="5"/>
    </row>
    <row r="631">
      <c r="O631" s="5"/>
      <c r="P631" s="5"/>
    </row>
    <row r="632">
      <c r="O632" s="5"/>
      <c r="P632" s="5"/>
    </row>
    <row r="633">
      <c r="O633" s="5"/>
      <c r="P633" s="5"/>
    </row>
    <row r="634">
      <c r="O634" s="5"/>
      <c r="P634" s="5"/>
    </row>
    <row r="635">
      <c r="O635" s="5"/>
      <c r="P635" s="5"/>
    </row>
    <row r="636">
      <c r="O636" s="5"/>
      <c r="P636" s="5"/>
    </row>
    <row r="637">
      <c r="O637" s="5"/>
      <c r="P637" s="5"/>
    </row>
    <row r="638">
      <c r="O638" s="5"/>
      <c r="P638" s="5"/>
    </row>
    <row r="639">
      <c r="O639" s="5"/>
      <c r="P639" s="5"/>
    </row>
    <row r="640">
      <c r="O640" s="5"/>
      <c r="P640" s="5"/>
    </row>
    <row r="641">
      <c r="O641" s="5"/>
      <c r="P641" s="5"/>
    </row>
    <row r="642">
      <c r="O642" s="5"/>
      <c r="P642" s="5"/>
    </row>
    <row r="643">
      <c r="O643" s="5"/>
      <c r="P643" s="5"/>
    </row>
    <row r="644">
      <c r="O644" s="5"/>
      <c r="P644" s="5"/>
    </row>
    <row r="645">
      <c r="O645" s="5"/>
      <c r="P645" s="5"/>
    </row>
    <row r="646">
      <c r="O646" s="5"/>
      <c r="P646" s="5"/>
    </row>
    <row r="647">
      <c r="O647" s="5"/>
      <c r="P647" s="5"/>
    </row>
    <row r="648">
      <c r="O648" s="5"/>
      <c r="P648" s="5"/>
    </row>
    <row r="649">
      <c r="O649" s="5"/>
      <c r="P649" s="5"/>
    </row>
    <row r="650">
      <c r="O650" s="5"/>
      <c r="P650" s="5"/>
    </row>
    <row r="651">
      <c r="O651" s="5"/>
      <c r="P651" s="5"/>
    </row>
    <row r="652">
      <c r="O652" s="5"/>
      <c r="P652" s="5"/>
    </row>
    <row r="653">
      <c r="O653" s="5"/>
      <c r="P653" s="5"/>
    </row>
    <row r="654">
      <c r="O654" s="5"/>
      <c r="P654" s="5"/>
    </row>
    <row r="655">
      <c r="O655" s="5"/>
      <c r="P655" s="5"/>
    </row>
    <row r="656">
      <c r="O656" s="5"/>
      <c r="P656" s="5"/>
    </row>
    <row r="657">
      <c r="O657" s="5"/>
      <c r="P657" s="5"/>
    </row>
    <row r="658">
      <c r="O658" s="5"/>
      <c r="P658" s="5"/>
    </row>
    <row r="659">
      <c r="O659" s="5"/>
      <c r="P659" s="5"/>
    </row>
    <row r="660">
      <c r="O660" s="5"/>
      <c r="P660" s="5"/>
    </row>
    <row r="661">
      <c r="O661" s="5"/>
      <c r="P661" s="5"/>
    </row>
    <row r="662">
      <c r="O662" s="5"/>
      <c r="P662" s="5"/>
    </row>
    <row r="663">
      <c r="O663" s="5"/>
      <c r="P663" s="5"/>
    </row>
    <row r="664">
      <c r="O664" s="5"/>
      <c r="P664" s="5"/>
    </row>
    <row r="665">
      <c r="O665" s="5"/>
      <c r="P665" s="5"/>
    </row>
    <row r="666">
      <c r="O666" s="5"/>
      <c r="P666" s="5"/>
    </row>
    <row r="667">
      <c r="O667" s="5"/>
      <c r="P667" s="5"/>
    </row>
    <row r="668">
      <c r="O668" s="5"/>
      <c r="P668" s="5"/>
    </row>
    <row r="669">
      <c r="O669" s="5"/>
      <c r="P669" s="5"/>
    </row>
    <row r="670">
      <c r="O670" s="5"/>
      <c r="P670" s="5"/>
    </row>
    <row r="671">
      <c r="O671" s="5"/>
      <c r="P671" s="5"/>
    </row>
    <row r="672">
      <c r="O672" s="5"/>
      <c r="P672" s="5"/>
    </row>
    <row r="673">
      <c r="O673" s="5"/>
      <c r="P673" s="5"/>
    </row>
    <row r="674">
      <c r="O674" s="5"/>
      <c r="P674" s="5"/>
    </row>
    <row r="675">
      <c r="O675" s="5"/>
      <c r="P675" s="5"/>
    </row>
    <row r="676">
      <c r="O676" s="5"/>
      <c r="P676" s="5"/>
    </row>
    <row r="677">
      <c r="O677" s="5"/>
      <c r="P677" s="5"/>
    </row>
    <row r="678">
      <c r="O678" s="5"/>
      <c r="P678" s="5"/>
    </row>
    <row r="679">
      <c r="O679" s="5"/>
      <c r="P679" s="5"/>
    </row>
    <row r="680">
      <c r="O680" s="5"/>
      <c r="P680" s="5"/>
    </row>
    <row r="681">
      <c r="O681" s="5"/>
      <c r="P681" s="5"/>
    </row>
    <row r="682">
      <c r="O682" s="5"/>
      <c r="P682" s="5"/>
    </row>
    <row r="683">
      <c r="O683" s="5"/>
      <c r="P683" s="5"/>
    </row>
    <row r="684">
      <c r="O684" s="5"/>
      <c r="P684" s="5"/>
    </row>
    <row r="685">
      <c r="O685" s="5"/>
      <c r="P685" s="5"/>
    </row>
    <row r="686">
      <c r="O686" s="5"/>
      <c r="P686" s="5"/>
    </row>
    <row r="687">
      <c r="O687" s="5"/>
      <c r="P687" s="5"/>
    </row>
    <row r="688">
      <c r="O688" s="5"/>
      <c r="P688" s="5"/>
    </row>
    <row r="689">
      <c r="O689" s="5"/>
      <c r="P689" s="5"/>
    </row>
    <row r="690">
      <c r="O690" s="5"/>
      <c r="P690" s="5"/>
    </row>
    <row r="691">
      <c r="O691" s="5"/>
      <c r="P691" s="5"/>
    </row>
    <row r="692">
      <c r="O692" s="5"/>
      <c r="P692" s="5"/>
    </row>
    <row r="693">
      <c r="O693" s="5"/>
      <c r="P693" s="5"/>
    </row>
    <row r="694">
      <c r="O694" s="5"/>
      <c r="P694" s="5"/>
    </row>
    <row r="695">
      <c r="O695" s="5"/>
      <c r="P695" s="5"/>
    </row>
    <row r="696">
      <c r="O696" s="5"/>
      <c r="P696" s="5"/>
    </row>
    <row r="697">
      <c r="O697" s="5"/>
      <c r="P697" s="5"/>
    </row>
    <row r="698">
      <c r="O698" s="5"/>
      <c r="P698" s="5"/>
    </row>
    <row r="699">
      <c r="O699" s="5"/>
      <c r="P699" s="5"/>
    </row>
    <row r="700">
      <c r="O700" s="5"/>
      <c r="P700" s="5"/>
    </row>
    <row r="701">
      <c r="O701" s="5"/>
      <c r="P701" s="5"/>
    </row>
    <row r="702">
      <c r="O702" s="5"/>
      <c r="P702" s="5"/>
    </row>
    <row r="703">
      <c r="O703" s="5"/>
      <c r="P703" s="5"/>
    </row>
    <row r="704">
      <c r="O704" s="5"/>
      <c r="P704" s="5"/>
    </row>
    <row r="705">
      <c r="O705" s="5"/>
      <c r="P705" s="5"/>
    </row>
    <row r="706">
      <c r="O706" s="5"/>
      <c r="P706" s="5"/>
    </row>
    <row r="707">
      <c r="O707" s="5"/>
      <c r="P707" s="5"/>
    </row>
    <row r="708">
      <c r="O708" s="5"/>
      <c r="P708" s="5"/>
    </row>
    <row r="709">
      <c r="O709" s="5"/>
      <c r="P709" s="5"/>
    </row>
    <row r="710">
      <c r="O710" s="5"/>
      <c r="P710" s="5"/>
    </row>
    <row r="711">
      <c r="O711" s="5"/>
      <c r="P711" s="5"/>
    </row>
    <row r="712">
      <c r="O712" s="5"/>
      <c r="P712" s="5"/>
    </row>
    <row r="713">
      <c r="O713" s="5"/>
      <c r="P713" s="5"/>
    </row>
    <row r="714">
      <c r="O714" s="5"/>
      <c r="P714" s="5"/>
    </row>
    <row r="715">
      <c r="O715" s="5"/>
      <c r="P715" s="5"/>
    </row>
    <row r="716">
      <c r="O716" s="5"/>
      <c r="P716" s="5"/>
    </row>
    <row r="717">
      <c r="O717" s="5"/>
      <c r="P717" s="5"/>
    </row>
    <row r="718">
      <c r="O718" s="5"/>
      <c r="P718" s="5"/>
    </row>
    <row r="719">
      <c r="O719" s="5"/>
      <c r="P719" s="5"/>
    </row>
    <row r="720">
      <c r="O720" s="5"/>
      <c r="P720" s="5"/>
    </row>
    <row r="721">
      <c r="O721" s="5"/>
      <c r="P721" s="5"/>
    </row>
    <row r="722">
      <c r="O722" s="5"/>
      <c r="P722" s="5"/>
    </row>
    <row r="723">
      <c r="O723" s="5"/>
      <c r="P723" s="5"/>
    </row>
    <row r="724">
      <c r="O724" s="5"/>
      <c r="P724" s="5"/>
    </row>
    <row r="725">
      <c r="O725" s="5"/>
      <c r="P725" s="5"/>
    </row>
    <row r="726">
      <c r="O726" s="5"/>
      <c r="P726" s="5"/>
    </row>
    <row r="727">
      <c r="O727" s="5"/>
      <c r="P727" s="5"/>
    </row>
    <row r="728">
      <c r="O728" s="5"/>
      <c r="P728" s="5"/>
    </row>
    <row r="729">
      <c r="O729" s="5"/>
      <c r="P729" s="5"/>
    </row>
    <row r="730">
      <c r="O730" s="5"/>
      <c r="P730" s="5"/>
    </row>
    <row r="731">
      <c r="O731" s="5"/>
      <c r="P731" s="5"/>
    </row>
    <row r="732">
      <c r="O732" s="5"/>
      <c r="P732" s="5"/>
    </row>
    <row r="733">
      <c r="O733" s="5"/>
      <c r="P733" s="5"/>
    </row>
    <row r="734">
      <c r="O734" s="5"/>
      <c r="P734" s="5"/>
    </row>
    <row r="735">
      <c r="O735" s="5"/>
      <c r="P735" s="5"/>
    </row>
    <row r="736">
      <c r="O736" s="5"/>
      <c r="P736" s="5"/>
    </row>
    <row r="737">
      <c r="O737" s="5"/>
      <c r="P737" s="5"/>
    </row>
    <row r="738">
      <c r="O738" s="5"/>
      <c r="P738" s="5"/>
    </row>
    <row r="739">
      <c r="O739" s="5"/>
      <c r="P739" s="5"/>
    </row>
    <row r="740">
      <c r="O740" s="5"/>
      <c r="P740" s="5"/>
    </row>
    <row r="741">
      <c r="O741" s="5"/>
      <c r="P741" s="5"/>
    </row>
    <row r="742">
      <c r="O742" s="5"/>
      <c r="P742" s="5"/>
    </row>
    <row r="743">
      <c r="O743" s="5"/>
      <c r="P743" s="5"/>
    </row>
    <row r="744">
      <c r="O744" s="5"/>
      <c r="P744" s="5"/>
    </row>
    <row r="745">
      <c r="O745" s="5"/>
      <c r="P745" s="5"/>
    </row>
    <row r="746">
      <c r="O746" s="5"/>
      <c r="P746" s="5"/>
    </row>
    <row r="747">
      <c r="O747" s="5"/>
      <c r="P747" s="5"/>
    </row>
    <row r="748">
      <c r="O748" s="5"/>
      <c r="P748" s="5"/>
    </row>
    <row r="749">
      <c r="O749" s="5"/>
      <c r="P749" s="5"/>
    </row>
    <row r="750">
      <c r="O750" s="5"/>
      <c r="P750" s="5"/>
    </row>
    <row r="751">
      <c r="O751" s="5"/>
      <c r="P751" s="5"/>
    </row>
    <row r="752">
      <c r="O752" s="5"/>
      <c r="P752" s="5"/>
    </row>
    <row r="753">
      <c r="O753" s="5"/>
      <c r="P753" s="5"/>
    </row>
    <row r="754">
      <c r="O754" s="5"/>
      <c r="P754" s="5"/>
    </row>
    <row r="755">
      <c r="O755" s="5"/>
      <c r="P755" s="5"/>
    </row>
    <row r="756">
      <c r="O756" s="5"/>
      <c r="P756" s="5"/>
    </row>
    <row r="757">
      <c r="O757" s="5"/>
      <c r="P757" s="5"/>
    </row>
    <row r="758">
      <c r="O758" s="5"/>
      <c r="P758" s="5"/>
    </row>
    <row r="759">
      <c r="O759" s="5"/>
      <c r="P759" s="5"/>
    </row>
    <row r="760">
      <c r="O760" s="5"/>
      <c r="P760" s="5"/>
    </row>
    <row r="761">
      <c r="O761" s="5"/>
      <c r="P761" s="5"/>
    </row>
    <row r="762">
      <c r="O762" s="5"/>
      <c r="P762" s="5"/>
    </row>
    <row r="763">
      <c r="O763" s="5"/>
      <c r="P763" s="5"/>
    </row>
    <row r="764">
      <c r="O764" s="5"/>
      <c r="P764" s="5"/>
    </row>
    <row r="765">
      <c r="O765" s="5"/>
      <c r="P765" s="5"/>
    </row>
    <row r="766">
      <c r="O766" s="5"/>
      <c r="P766" s="5"/>
    </row>
    <row r="767">
      <c r="O767" s="5"/>
      <c r="P767" s="5"/>
    </row>
    <row r="768">
      <c r="O768" s="5"/>
      <c r="P768" s="5"/>
    </row>
    <row r="769">
      <c r="O769" s="5"/>
      <c r="P769" s="5"/>
    </row>
    <row r="770">
      <c r="O770" s="5"/>
      <c r="P770" s="5"/>
    </row>
    <row r="771">
      <c r="O771" s="5"/>
      <c r="P771" s="5"/>
    </row>
    <row r="772">
      <c r="O772" s="5"/>
      <c r="P772" s="5"/>
    </row>
    <row r="773">
      <c r="O773" s="5"/>
      <c r="P773" s="5"/>
    </row>
    <row r="774">
      <c r="O774" s="5"/>
      <c r="P774" s="5"/>
    </row>
    <row r="775">
      <c r="O775" s="5"/>
      <c r="P775" s="5"/>
    </row>
    <row r="776">
      <c r="O776" s="5"/>
      <c r="P776" s="5"/>
    </row>
    <row r="777">
      <c r="O777" s="5"/>
      <c r="P777" s="5"/>
    </row>
    <row r="778">
      <c r="O778" s="5"/>
      <c r="P778" s="5"/>
    </row>
    <row r="779">
      <c r="O779" s="5"/>
      <c r="P779" s="5"/>
    </row>
    <row r="780">
      <c r="O780" s="5"/>
      <c r="P780" s="5"/>
    </row>
    <row r="781">
      <c r="O781" s="5"/>
      <c r="P781" s="5"/>
    </row>
    <row r="782">
      <c r="O782" s="5"/>
      <c r="P782" s="5"/>
    </row>
    <row r="783">
      <c r="O783" s="5"/>
      <c r="P783" s="5"/>
    </row>
    <row r="784">
      <c r="O784" s="5"/>
      <c r="P784" s="5"/>
    </row>
    <row r="785">
      <c r="O785" s="5"/>
      <c r="P785" s="5"/>
    </row>
    <row r="786">
      <c r="O786" s="5"/>
      <c r="P786" s="5"/>
    </row>
    <row r="787">
      <c r="O787" s="5"/>
      <c r="P787" s="5"/>
    </row>
    <row r="788">
      <c r="O788" s="5"/>
      <c r="P788" s="5"/>
    </row>
    <row r="789">
      <c r="O789" s="5"/>
      <c r="P789" s="5"/>
    </row>
    <row r="790">
      <c r="O790" s="5"/>
      <c r="P790" s="5"/>
    </row>
    <row r="791">
      <c r="O791" s="5"/>
      <c r="P791" s="5"/>
    </row>
    <row r="792">
      <c r="O792" s="5"/>
      <c r="P792" s="5"/>
    </row>
    <row r="793">
      <c r="O793" s="5"/>
      <c r="P793" s="5"/>
    </row>
    <row r="794">
      <c r="O794" s="5"/>
      <c r="P794" s="5"/>
    </row>
    <row r="795">
      <c r="O795" s="5"/>
      <c r="P795" s="5"/>
    </row>
    <row r="796">
      <c r="O796" s="5"/>
      <c r="P796" s="5"/>
    </row>
    <row r="797">
      <c r="O797" s="5"/>
      <c r="P797" s="5"/>
    </row>
    <row r="798">
      <c r="O798" s="5"/>
      <c r="P798" s="5"/>
    </row>
    <row r="799">
      <c r="O799" s="5"/>
      <c r="P799" s="5"/>
    </row>
    <row r="800">
      <c r="O800" s="5"/>
      <c r="P800" s="5"/>
    </row>
    <row r="801">
      <c r="O801" s="5"/>
      <c r="P801" s="5"/>
    </row>
    <row r="802">
      <c r="O802" s="5"/>
      <c r="P802" s="5"/>
    </row>
    <row r="803">
      <c r="O803" s="5"/>
      <c r="P803" s="5"/>
    </row>
    <row r="804">
      <c r="O804" s="5"/>
      <c r="P804" s="5"/>
    </row>
    <row r="805">
      <c r="O805" s="5"/>
      <c r="P805" s="5"/>
    </row>
    <row r="806">
      <c r="O806" s="5"/>
      <c r="P806" s="5"/>
    </row>
    <row r="807">
      <c r="O807" s="5"/>
      <c r="P807" s="5"/>
    </row>
    <row r="808">
      <c r="O808" s="5"/>
      <c r="P808" s="5"/>
    </row>
    <row r="809">
      <c r="O809" s="5"/>
      <c r="P809" s="5"/>
    </row>
    <row r="810">
      <c r="O810" s="5"/>
      <c r="P810" s="5"/>
    </row>
    <row r="811">
      <c r="O811" s="5"/>
      <c r="P811" s="5"/>
    </row>
    <row r="812">
      <c r="O812" s="5"/>
      <c r="P812" s="5"/>
    </row>
    <row r="813">
      <c r="O813" s="5"/>
      <c r="P813" s="5"/>
    </row>
    <row r="814">
      <c r="O814" s="5"/>
      <c r="P814" s="5"/>
    </row>
    <row r="815">
      <c r="O815" s="5"/>
      <c r="P815" s="5"/>
    </row>
    <row r="816">
      <c r="O816" s="5"/>
      <c r="P816" s="5"/>
    </row>
    <row r="817">
      <c r="O817" s="5"/>
      <c r="P817" s="5"/>
    </row>
    <row r="818">
      <c r="O818" s="5"/>
      <c r="P818" s="5"/>
    </row>
    <row r="819">
      <c r="O819" s="5"/>
      <c r="P819" s="5"/>
    </row>
    <row r="820">
      <c r="O820" s="5"/>
      <c r="P820" s="5"/>
    </row>
    <row r="821">
      <c r="O821" s="5"/>
      <c r="P821" s="5"/>
    </row>
    <row r="822">
      <c r="O822" s="5"/>
      <c r="P822" s="5"/>
    </row>
    <row r="823">
      <c r="O823" s="5"/>
      <c r="P823" s="5"/>
    </row>
    <row r="824">
      <c r="O824" s="5"/>
      <c r="P824" s="5"/>
    </row>
    <row r="825">
      <c r="O825" s="5"/>
      <c r="P825" s="5"/>
    </row>
    <row r="826">
      <c r="O826" s="5"/>
      <c r="P826" s="5"/>
    </row>
    <row r="827">
      <c r="O827" s="5"/>
      <c r="P827" s="5"/>
    </row>
    <row r="828">
      <c r="O828" s="5"/>
      <c r="P828" s="5"/>
    </row>
    <row r="829">
      <c r="O829" s="5"/>
      <c r="P829" s="5"/>
    </row>
    <row r="830">
      <c r="O830" s="5"/>
      <c r="P830" s="5"/>
    </row>
    <row r="831">
      <c r="O831" s="5"/>
      <c r="P831" s="5"/>
    </row>
    <row r="832">
      <c r="O832" s="5"/>
      <c r="P832" s="5"/>
    </row>
    <row r="833">
      <c r="O833" s="5"/>
      <c r="P833" s="5"/>
    </row>
    <row r="834">
      <c r="O834" s="5"/>
      <c r="P834" s="5"/>
    </row>
    <row r="835">
      <c r="O835" s="5"/>
      <c r="P835" s="5"/>
    </row>
    <row r="836">
      <c r="O836" s="5"/>
      <c r="P836" s="5"/>
    </row>
    <row r="837">
      <c r="O837" s="5"/>
      <c r="P837" s="5"/>
    </row>
    <row r="838">
      <c r="O838" s="5"/>
      <c r="P838" s="5"/>
    </row>
    <row r="839">
      <c r="O839" s="5"/>
      <c r="P839" s="5"/>
    </row>
    <row r="840">
      <c r="O840" s="5"/>
      <c r="P840" s="5"/>
    </row>
    <row r="841">
      <c r="O841" s="5"/>
      <c r="P841" s="5"/>
    </row>
    <row r="842">
      <c r="O842" s="5"/>
      <c r="P842" s="5"/>
    </row>
    <row r="843">
      <c r="O843" s="5"/>
      <c r="P843" s="5"/>
    </row>
    <row r="844">
      <c r="O844" s="5"/>
      <c r="P844" s="5"/>
    </row>
    <row r="845">
      <c r="O845" s="5"/>
      <c r="P845" s="5"/>
    </row>
    <row r="846">
      <c r="O846" s="5"/>
      <c r="P846" s="5"/>
    </row>
    <row r="847">
      <c r="O847" s="5"/>
      <c r="P847" s="5"/>
    </row>
    <row r="848">
      <c r="O848" s="5"/>
      <c r="P848" s="5"/>
    </row>
    <row r="849">
      <c r="O849" s="5"/>
      <c r="P849" s="5"/>
    </row>
    <row r="850">
      <c r="O850" s="5"/>
      <c r="P850" s="5"/>
    </row>
    <row r="851">
      <c r="O851" s="5"/>
      <c r="P851" s="5"/>
    </row>
    <row r="852">
      <c r="O852" s="5"/>
      <c r="P852" s="5"/>
    </row>
    <row r="853">
      <c r="O853" s="5"/>
      <c r="P853" s="5"/>
    </row>
    <row r="854">
      <c r="O854" s="5"/>
      <c r="P854" s="5"/>
    </row>
    <row r="855">
      <c r="O855" s="5"/>
      <c r="P855" s="5"/>
    </row>
    <row r="856">
      <c r="O856" s="5"/>
      <c r="P856" s="5"/>
    </row>
    <row r="857">
      <c r="O857" s="5"/>
      <c r="P857" s="5"/>
    </row>
    <row r="858">
      <c r="O858" s="5"/>
      <c r="P858" s="5"/>
    </row>
    <row r="859">
      <c r="O859" s="5"/>
      <c r="P859" s="5"/>
    </row>
    <row r="860">
      <c r="O860" s="5"/>
      <c r="P860" s="5"/>
    </row>
    <row r="861">
      <c r="O861" s="5"/>
      <c r="P861" s="5"/>
    </row>
    <row r="862">
      <c r="O862" s="5"/>
      <c r="P862" s="5"/>
    </row>
    <row r="863">
      <c r="O863" s="5"/>
      <c r="P863" s="5"/>
    </row>
    <row r="864">
      <c r="O864" s="5"/>
      <c r="P864" s="5"/>
    </row>
    <row r="865">
      <c r="O865" s="5"/>
      <c r="P865" s="5"/>
    </row>
    <row r="866">
      <c r="O866" s="5"/>
      <c r="P866" s="5"/>
    </row>
    <row r="867">
      <c r="O867" s="5"/>
      <c r="P867" s="5"/>
    </row>
    <row r="868">
      <c r="O868" s="5"/>
      <c r="P868" s="5"/>
    </row>
    <row r="869">
      <c r="O869" s="5"/>
      <c r="P869" s="5"/>
    </row>
    <row r="870">
      <c r="O870" s="5"/>
      <c r="P870" s="5"/>
    </row>
    <row r="871">
      <c r="O871" s="5"/>
      <c r="P871" s="5"/>
    </row>
    <row r="872">
      <c r="O872" s="5"/>
      <c r="P872" s="5"/>
    </row>
    <row r="873">
      <c r="O873" s="5"/>
      <c r="P873" s="5"/>
    </row>
    <row r="874">
      <c r="O874" s="5"/>
      <c r="P874" s="5"/>
    </row>
    <row r="875">
      <c r="O875" s="5"/>
      <c r="P875" s="5"/>
    </row>
    <row r="876">
      <c r="O876" s="5"/>
      <c r="P876" s="5"/>
    </row>
    <row r="877">
      <c r="O877" s="5"/>
      <c r="P877" s="5"/>
    </row>
    <row r="878">
      <c r="O878" s="5"/>
      <c r="P878" s="5"/>
    </row>
    <row r="879">
      <c r="O879" s="5"/>
      <c r="P879" s="5"/>
    </row>
    <row r="880">
      <c r="O880" s="5"/>
      <c r="P880" s="5"/>
    </row>
    <row r="881">
      <c r="O881" s="5"/>
      <c r="P881" s="5"/>
    </row>
    <row r="882">
      <c r="O882" s="5"/>
      <c r="P882" s="5"/>
    </row>
    <row r="883">
      <c r="O883" s="5"/>
      <c r="P883" s="5"/>
    </row>
    <row r="884">
      <c r="O884" s="5"/>
      <c r="P884" s="5"/>
    </row>
    <row r="885">
      <c r="O885" s="5"/>
      <c r="P885" s="5"/>
    </row>
    <row r="886">
      <c r="O886" s="5"/>
      <c r="P886" s="5"/>
    </row>
    <row r="887">
      <c r="O887" s="5"/>
      <c r="P887" s="5"/>
    </row>
    <row r="888">
      <c r="O888" s="5"/>
      <c r="P888" s="5"/>
    </row>
    <row r="889">
      <c r="O889" s="5"/>
      <c r="P889" s="5"/>
    </row>
    <row r="890">
      <c r="O890" s="5"/>
      <c r="P890" s="5"/>
    </row>
    <row r="891">
      <c r="O891" s="5"/>
      <c r="P891" s="5"/>
    </row>
    <row r="892">
      <c r="O892" s="5"/>
      <c r="P892" s="5"/>
    </row>
    <row r="893">
      <c r="O893" s="5"/>
      <c r="P893" s="5"/>
    </row>
    <row r="894">
      <c r="O894" s="5"/>
      <c r="P894" s="5"/>
    </row>
    <row r="895">
      <c r="O895" s="5"/>
      <c r="P895" s="5"/>
    </row>
    <row r="896">
      <c r="O896" s="5"/>
      <c r="P896" s="5"/>
    </row>
    <row r="897">
      <c r="O897" s="5"/>
      <c r="P897" s="5"/>
    </row>
    <row r="898">
      <c r="O898" s="5"/>
      <c r="P898" s="5"/>
    </row>
    <row r="899">
      <c r="O899" s="5"/>
      <c r="P899" s="5"/>
    </row>
    <row r="900">
      <c r="O900" s="5"/>
      <c r="P900" s="5"/>
    </row>
    <row r="901">
      <c r="O901" s="5"/>
      <c r="P901" s="5"/>
    </row>
    <row r="902">
      <c r="O902" s="5"/>
      <c r="P902" s="5"/>
    </row>
    <row r="903">
      <c r="O903" s="5"/>
      <c r="P903" s="5"/>
    </row>
    <row r="904">
      <c r="O904" s="5"/>
      <c r="P904" s="5"/>
    </row>
    <row r="905">
      <c r="O905" s="5"/>
      <c r="P905" s="5"/>
    </row>
    <row r="906">
      <c r="O906" s="5"/>
      <c r="P906" s="5"/>
    </row>
    <row r="907">
      <c r="O907" s="5"/>
      <c r="P907" s="5"/>
    </row>
    <row r="908">
      <c r="O908" s="5"/>
      <c r="P908" s="5"/>
    </row>
    <row r="909">
      <c r="O909" s="5"/>
      <c r="P909" s="5"/>
    </row>
    <row r="910">
      <c r="O910" s="5"/>
      <c r="P910" s="5"/>
    </row>
    <row r="911">
      <c r="O911" s="5"/>
      <c r="P911" s="5"/>
    </row>
    <row r="912">
      <c r="O912" s="5"/>
      <c r="P912" s="5"/>
    </row>
    <row r="913">
      <c r="O913" s="5"/>
      <c r="P913" s="5"/>
    </row>
    <row r="914">
      <c r="O914" s="5"/>
      <c r="P914" s="5"/>
    </row>
    <row r="915">
      <c r="O915" s="5"/>
      <c r="P915" s="5"/>
    </row>
    <row r="916">
      <c r="O916" s="5"/>
      <c r="P916" s="5"/>
    </row>
    <row r="917">
      <c r="O917" s="5"/>
      <c r="P917" s="5"/>
    </row>
    <row r="918">
      <c r="O918" s="5"/>
      <c r="P918" s="5"/>
    </row>
    <row r="919">
      <c r="O919" s="5"/>
      <c r="P919" s="5"/>
    </row>
    <row r="920">
      <c r="O920" s="5"/>
      <c r="P920" s="5"/>
    </row>
    <row r="921">
      <c r="O921" s="5"/>
      <c r="P921" s="5"/>
    </row>
    <row r="922">
      <c r="O922" s="5"/>
      <c r="P922" s="5"/>
    </row>
    <row r="923">
      <c r="O923" s="5"/>
      <c r="P923" s="5"/>
    </row>
    <row r="924">
      <c r="O924" s="5"/>
      <c r="P924" s="5"/>
    </row>
    <row r="925">
      <c r="O925" s="5"/>
      <c r="P925" s="5"/>
    </row>
    <row r="926">
      <c r="O926" s="5"/>
      <c r="P926" s="5"/>
    </row>
    <row r="927">
      <c r="O927" s="5"/>
      <c r="P927" s="5"/>
    </row>
    <row r="928">
      <c r="O928" s="5"/>
      <c r="P928" s="5"/>
    </row>
    <row r="929">
      <c r="O929" s="5"/>
      <c r="P929" s="5"/>
    </row>
    <row r="930">
      <c r="O930" s="5"/>
      <c r="P930" s="5"/>
    </row>
    <row r="931">
      <c r="O931" s="5"/>
      <c r="P931" s="5"/>
    </row>
    <row r="932">
      <c r="O932" s="5"/>
      <c r="P932" s="5"/>
    </row>
    <row r="933">
      <c r="O933" s="5"/>
      <c r="P933" s="5"/>
    </row>
    <row r="934">
      <c r="O934" s="5"/>
      <c r="P934" s="5"/>
    </row>
    <row r="935">
      <c r="O935" s="5"/>
      <c r="P935" s="5"/>
    </row>
    <row r="936">
      <c r="O936" s="5"/>
      <c r="P936" s="5"/>
    </row>
    <row r="937">
      <c r="O937" s="5"/>
      <c r="P937" s="5"/>
    </row>
    <row r="938">
      <c r="O938" s="5"/>
      <c r="P938" s="5"/>
    </row>
    <row r="939">
      <c r="O939" s="5"/>
      <c r="P939" s="5"/>
    </row>
    <row r="940">
      <c r="O940" s="5"/>
      <c r="P940" s="5"/>
    </row>
    <row r="941">
      <c r="O941" s="5"/>
      <c r="P941" s="5"/>
    </row>
    <row r="942">
      <c r="O942" s="5"/>
      <c r="P942" s="5"/>
    </row>
    <row r="943">
      <c r="O943" s="5"/>
      <c r="P943" s="5"/>
    </row>
    <row r="944">
      <c r="O944" s="5"/>
      <c r="P944" s="5"/>
    </row>
    <row r="945">
      <c r="O945" s="5"/>
      <c r="P945" s="5"/>
    </row>
    <row r="946">
      <c r="O946" s="5"/>
      <c r="P946" s="5"/>
    </row>
    <row r="947">
      <c r="O947" s="5"/>
      <c r="P947" s="5"/>
    </row>
    <row r="948">
      <c r="O948" s="5"/>
      <c r="P948" s="5"/>
    </row>
    <row r="949">
      <c r="O949" s="5"/>
      <c r="P949" s="5"/>
    </row>
    <row r="950">
      <c r="O950" s="5"/>
      <c r="P950" s="5"/>
    </row>
    <row r="951">
      <c r="O951" s="5"/>
      <c r="P951" s="5"/>
    </row>
    <row r="952">
      <c r="O952" s="5"/>
      <c r="P952" s="5"/>
    </row>
    <row r="953">
      <c r="O953" s="5"/>
      <c r="P953" s="5"/>
    </row>
    <row r="954">
      <c r="O954" s="5"/>
      <c r="P954" s="5"/>
    </row>
    <row r="955">
      <c r="O955" s="5"/>
      <c r="P955" s="5"/>
    </row>
    <row r="956">
      <c r="O956" s="5"/>
      <c r="P956" s="5"/>
    </row>
    <row r="957">
      <c r="O957" s="5"/>
      <c r="P957" s="5"/>
    </row>
    <row r="958">
      <c r="O958" s="5"/>
      <c r="P958" s="5"/>
    </row>
    <row r="959">
      <c r="O959" s="5"/>
      <c r="P959" s="5"/>
    </row>
    <row r="960">
      <c r="O960" s="5"/>
      <c r="P960" s="5"/>
    </row>
    <row r="961">
      <c r="O961" s="5"/>
      <c r="P961" s="5"/>
    </row>
    <row r="962">
      <c r="O962" s="5"/>
      <c r="P962" s="5"/>
    </row>
    <row r="963">
      <c r="O963" s="5"/>
      <c r="P963" s="5"/>
    </row>
    <row r="964">
      <c r="O964" s="5"/>
      <c r="P964" s="5"/>
    </row>
    <row r="965">
      <c r="O965" s="5"/>
      <c r="P965" s="5"/>
    </row>
    <row r="966">
      <c r="O966" s="5"/>
      <c r="P966" s="5"/>
    </row>
    <row r="967">
      <c r="O967" s="5"/>
      <c r="P967" s="5"/>
    </row>
    <row r="968">
      <c r="O968" s="5"/>
      <c r="P968" s="5"/>
    </row>
    <row r="969">
      <c r="O969" s="5"/>
      <c r="P969" s="5"/>
    </row>
    <row r="970">
      <c r="O970" s="5"/>
      <c r="P970" s="5"/>
    </row>
    <row r="971">
      <c r="O971" s="5"/>
      <c r="P971" s="5"/>
    </row>
    <row r="972">
      <c r="O972" s="5"/>
      <c r="P972" s="5"/>
    </row>
    <row r="973">
      <c r="O973" s="5"/>
      <c r="P973" s="5"/>
    </row>
    <row r="974">
      <c r="O974" s="5"/>
      <c r="P974" s="5"/>
    </row>
    <row r="975">
      <c r="O975" s="5"/>
      <c r="P975" s="5"/>
    </row>
    <row r="976">
      <c r="O976" s="5"/>
      <c r="P976" s="5"/>
    </row>
    <row r="977">
      <c r="O977" s="5"/>
      <c r="P977" s="5"/>
    </row>
    <row r="978">
      <c r="O978" s="5"/>
      <c r="P978" s="5"/>
    </row>
    <row r="979">
      <c r="O979" s="5"/>
      <c r="P979" s="5"/>
    </row>
    <row r="980">
      <c r="O980" s="5"/>
      <c r="P980" s="5"/>
    </row>
    <row r="981">
      <c r="O981" s="5"/>
      <c r="P981" s="5"/>
    </row>
    <row r="982">
      <c r="O982" s="5"/>
      <c r="P982" s="5"/>
    </row>
    <row r="983">
      <c r="O983" s="5"/>
      <c r="P983" s="5"/>
    </row>
    <row r="984">
      <c r="O984" s="5"/>
      <c r="P984" s="5"/>
    </row>
    <row r="985">
      <c r="O985" s="5"/>
      <c r="P985" s="5"/>
    </row>
    <row r="986">
      <c r="O986" s="5"/>
      <c r="P986" s="5"/>
    </row>
    <row r="987">
      <c r="O987" s="5"/>
      <c r="P987" s="5"/>
    </row>
    <row r="988">
      <c r="O988" s="5"/>
      <c r="P988" s="5"/>
    </row>
    <row r="989">
      <c r="O989" s="5"/>
      <c r="P989" s="5"/>
    </row>
    <row r="990">
      <c r="O990" s="5"/>
      <c r="P990" s="5"/>
    </row>
    <row r="991">
      <c r="O991" s="5"/>
      <c r="P991" s="5"/>
    </row>
    <row r="992">
      <c r="O992" s="5"/>
      <c r="P992" s="5"/>
    </row>
    <row r="993">
      <c r="O993" s="5"/>
      <c r="P993" s="5"/>
    </row>
    <row r="994">
      <c r="O994" s="5"/>
      <c r="P994" s="5"/>
    </row>
    <row r="995">
      <c r="O995" s="5"/>
      <c r="P995" s="5"/>
    </row>
    <row r="996">
      <c r="O996" s="5"/>
      <c r="P996" s="5"/>
    </row>
    <row r="997">
      <c r="O997" s="5"/>
      <c r="P997" s="5"/>
    </row>
    <row r="998">
      <c r="O998" s="5"/>
      <c r="P998" s="5"/>
    </row>
    <row r="999">
      <c r="O999" s="5"/>
      <c r="P999" s="5"/>
    </row>
    <row r="1000">
      <c r="O1000" s="5"/>
      <c r="P1000" s="5"/>
    </row>
  </sheetData>
  <autoFilter ref="$A$1:$T$101">
    <sortState ref="A1:T101">
      <sortCondition ref="P1:P101"/>
      <sortCondition ref="J1:J101"/>
    </sortState>
  </autoFilter>
  <mergeCells count="1">
    <mergeCell ref="V8:W8"/>
  </mergeCells>
  <conditionalFormatting sqref="S1:S1000">
    <cfRule type="cellIs" dxfId="0" priority="1" operator="lessThan">
      <formula>55</formula>
    </cfRule>
  </conditionalFormatting>
  <dataValidations>
    <dataValidation type="list" allowBlank="1" showErrorMessage="1" sqref="W9">
      <formula1>Addition!$B$2:$B$101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9.75"/>
  </cols>
  <sheetData>
    <row r="1">
      <c r="A1" s="6" t="s">
        <v>311</v>
      </c>
    </row>
    <row r="2">
      <c r="A2" s="7" t="s">
        <v>312</v>
      </c>
      <c r="B2" s="8" t="s">
        <v>230</v>
      </c>
    </row>
    <row r="3">
      <c r="A3" s="7" t="s">
        <v>313</v>
      </c>
      <c r="B3" s="9">
        <f t="array" ref="B3">XLOOKUP($B$2,Addition!B:B,Addition!J:J,"Not Found")</f>
        <v>34</v>
      </c>
    </row>
    <row r="4">
      <c r="A4" s="7" t="s">
        <v>314</v>
      </c>
      <c r="B4" s="9">
        <f t="array" ref="B4">XLOOKUP($B$2,Addition!B:B,Addition!M:M,"Not Found")</f>
        <v>14</v>
      </c>
    </row>
    <row r="5">
      <c r="A5" s="7" t="s">
        <v>315</v>
      </c>
      <c r="B5" s="10">
        <f t="array" ref="B5">XLOOKUP($B$2,Addition!B:B,Addition!P:P,"Not Found")</f>
        <v>55.6969697</v>
      </c>
    </row>
    <row r="6">
      <c r="A6" s="7" t="s">
        <v>316</v>
      </c>
      <c r="B6" s="10">
        <f t="array" ref="B6">XLOOKUP($B$2,Addition!B:B,Addition!Q:Q,"Not Found")</f>
        <v>83.19327731</v>
      </c>
    </row>
    <row r="7">
      <c r="A7" s="7" t="s">
        <v>317</v>
      </c>
      <c r="B7" s="9" t="str">
        <f t="array" ref="B7">XLOOKUP($B$2,Addition!B:B,Addition!T:T,"Not Found")</f>
        <v>🔴 Critical</v>
      </c>
    </row>
  </sheetData>
  <mergeCells count="1">
    <mergeCell ref="A1:B1"/>
  </mergeCells>
  <dataValidations>
    <dataValidation type="list" allowBlank="1" showErrorMessage="1" sqref="B2">
      <formula1>Addition!$B$2:$B$101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0.0"/>
  </cols>
  <sheetData>
    <row r="1"/>
    <row r="2"/>
    <row r="3"/>
    <row r="4"/>
    <row r="5"/>
    <row r="6"/>
    <row r="7"/>
    <row r="8"/>
    <row r="9"/>
    <row r="10"/>
    <row r="11"/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24">
      <c r="A24" s="11" t="s">
        <v>320</v>
      </c>
      <c r="B24" s="11" t="s">
        <v>321</v>
      </c>
      <c r="C24" s="11" t="s">
        <v>322</v>
      </c>
    </row>
    <row r="25">
      <c r="A25" s="4" t="s">
        <v>250</v>
      </c>
      <c r="B25" s="4">
        <v>1200.0</v>
      </c>
      <c r="C25" s="5">
        <v>74.0</v>
      </c>
    </row>
    <row r="26">
      <c r="A26" s="4" t="s">
        <v>294</v>
      </c>
      <c r="B26" s="4">
        <v>950.0</v>
      </c>
      <c r="C26" s="5">
        <v>63.6</v>
      </c>
    </row>
    <row r="27">
      <c r="A27" s="4" t="s">
        <v>197</v>
      </c>
      <c r="B27" s="4">
        <v>890.0</v>
      </c>
      <c r="C27" s="5">
        <v>67.31428571428572</v>
      </c>
    </row>
    <row r="28">
      <c r="A28" s="4" t="s">
        <v>272</v>
      </c>
      <c r="B28" s="4">
        <v>850.0</v>
      </c>
      <c r="C28" s="5">
        <v>72.41379310344827</v>
      </c>
    </row>
    <row r="29">
      <c r="A29" s="4" t="s">
        <v>263</v>
      </c>
      <c r="B29" s="4">
        <v>750.0</v>
      </c>
      <c r="C29" s="5">
        <v>61.46666666666667</v>
      </c>
    </row>
    <row r="30">
      <c r="A30" s="4" t="s">
        <v>184</v>
      </c>
      <c r="B30" s="4">
        <v>620.0</v>
      </c>
      <c r="C30" s="5">
        <v>60.711111111111116</v>
      </c>
    </row>
    <row r="31">
      <c r="A31" s="4" t="s">
        <v>284</v>
      </c>
      <c r="B31" s="4">
        <v>620.0</v>
      </c>
      <c r="C31" s="5">
        <v>64.13043478260869</v>
      </c>
    </row>
    <row r="32">
      <c r="A32" s="4" t="s">
        <v>36</v>
      </c>
      <c r="B32" s="4">
        <v>560.0</v>
      </c>
      <c r="C32" s="5">
        <v>68.44827586206897</v>
      </c>
    </row>
    <row r="33">
      <c r="A33" s="4" t="s">
        <v>176</v>
      </c>
      <c r="B33" s="4">
        <v>550.0</v>
      </c>
      <c r="C33" s="5">
        <v>68.26666666666667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13"/>
    <col customWidth="1" min="3" max="3" width="11.75"/>
    <col customWidth="1" min="4" max="4" width="19.25"/>
    <col customWidth="1" min="5" max="6" width="16.75"/>
  </cols>
  <sheetData>
    <row r="1">
      <c r="A1" s="13" t="s">
        <v>323</v>
      </c>
    </row>
    <row r="2"/>
    <row r="3"/>
    <row r="4"/>
    <row r="5"/>
    <row r="6"/>
    <row r="7"/>
    <row r="8"/>
    <row r="9"/>
  </sheetData>
  <mergeCells count="1">
    <mergeCell ref="A1:F1"/>
  </mergeCell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0"/>
    <col customWidth="1" min="4" max="4" width="15.0"/>
  </cols>
  <sheetData>
    <row r="1">
      <c r="A1" s="13" t="s">
        <v>329</v>
      </c>
    </row>
    <row r="2"/>
    <row r="3"/>
    <row r="4"/>
    <row r="5"/>
    <row r="6"/>
    <row r="7"/>
    <row r="8"/>
    <row r="9"/>
    <row r="10"/>
    <row r="11"/>
    <row r="12"/>
  </sheetData>
  <mergeCells count="1">
    <mergeCell ref="A1:D1"/>
  </mergeCells>
  <drawing r:id="rId2"/>
</worksheet>
</file>